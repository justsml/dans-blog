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9df35362e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es" sheetId="1" r:id="Rf5f97dff473848c6"/>
    <x:sheet xmlns:r="http://schemas.openxmlformats.org/officeDocument/2006/relationships" name="Scoring" sheetId="2" r:id="R5afbd66694e74839"/>
    <x:sheet xmlns:r="http://schemas.openxmlformats.org/officeDocument/2006/relationships" name="All opportunities" sheetId="3" r:id="R39a32568344b4e53"/>
    <x:sheet xmlns:r="http://schemas.openxmlformats.org/officeDocument/2006/relationships" name="Community routes" sheetId="4" r:id="Rd868d726dbb04dfe"/>
    <x:sheet xmlns:r="http://schemas.openxmlformats.org/officeDocument/2006/relationships" name="Deadlines" sheetId="5" r:id="Rd8a849951675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-mm-dd"/>
    <x:numFmt numFmtId="202" formatCode="0%"/>
  </x:numFmts>
  <x:fonts count="7">
    <x:font>
      <x:sz val="11"/>
      <x:name val="Carlito"/>
    </x:font>
    <x:font>
      <x:b/>
      <x:sz val="16"/>
      <x:color rgb="FF111827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24A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3561de9844999" /><Relationship Type="http://schemas.openxmlformats.org/officeDocument/2006/relationships/theme" Target="/xl/theme/theme1.xml" Id="R732ce9eaf9264bb9" /><Relationship Type="http://schemas.openxmlformats.org/officeDocument/2006/relationships/sharedStrings" Target="/xl/sharedStrings.xml" Id="R52868892e99248f3" /><Relationship Type="http://schemas.openxmlformats.org/officeDocument/2006/relationships/worksheet" Target="/xl/worksheets/sheet1.xml" Id="Rf5f97dff473848c6" /><Relationship Type="http://schemas.openxmlformats.org/officeDocument/2006/relationships/worksheet" Target="/xl/worksheets/sheet2.xml" Id="R5afbd66694e74839" /><Relationship Type="http://schemas.openxmlformats.org/officeDocument/2006/relationships/worksheet" Target="/xl/worksheets/sheet3.xml" Id="R39a32568344b4e53" /><Relationship Type="http://schemas.openxmlformats.org/officeDocument/2006/relationships/worksheet" Target="/xl/worksheets/sheet4.xml" Id="Rd868d726dbb04dfe" /><Relationship Type="http://schemas.openxmlformats.org/officeDocument/2006/relationships/worksheet" Target="/xl/worksheets/sheet5.xml" Id="Rd8a84995167544de" /></Relationships>
</file>

<file path=xl/tables/table1.xml><?xml version="1.0" encoding="utf-8"?>
<x:table xmlns:x="http://schemas.openxmlformats.org/spreadsheetml/2006/main" id="1" name="PrioritiesTable" displayName="PrioritiesTable" ref="A4:O44" headerRowCount="1" totalsRowCount="0" totalsRowShown="0">
  <x:tableColumns count="15">
    <x:tableColumn id="1" name="Rank"/>
    <x:tableColumn id="2" name="Composite"/>
    <x:tableColumn id="3" name="Type"/>
    <x:tableColumn id="4" name="Opportunity"/>
    <x:tableColumn id="5" name="Location"/>
    <x:tableColumn id="6" name="Start"/>
    <x:tableColumn id="7" name="Deadline"/>
    <x:tableColumn id="8" name="Primary talk"/>
    <x:tableColumn id="9" name="Location"/>
    <x:tableColumn id="10" name="Ease"/>
    <x:tableColumn id="11" name="Popularity"/>
    <x:tableColumn id="12" name="Fit"/>
    <x:tableColumn id="13" name="Timing"/>
    <x:tableColumn id="14" name="Status"/>
    <x:tableColumn id="1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pportunitiesTable" displayName="AllOpportunitiesTable" ref="A4:Y170" headerRowCount="1" totalsRowCount="0" totalsRowShown="0">
  <x:tableColumns count="25">
    <x:tableColumn id="1" name="Rank"/>
    <x:tableColumn id="2" name="Composite"/>
    <x:tableColumn id="3" name="Type"/>
    <x:tableColumn id="4" name="Opportunity"/>
    <x:tableColumn id="5" name="Edition or route"/>
    <x:tableColumn id="6" name="Location"/>
    <x:tableColumn id="7" name="Mode"/>
    <x:tableColumn id="8" name="Start"/>
    <x:tableColumn id="9" name="Status"/>
    <x:tableColumn id="10" name="Deadline"/>
    <x:tableColumn id="11" name="Primary talk"/>
    <x:tableColumn id="12" name="Backup talk"/>
    <x:tableColumn id="13" name="Location score"/>
    <x:tableColumn id="14" name="Ease"/>
    <x:tableColumn id="15" name="Fit penalty"/>
    <x:tableColumn id="16" name="Popularity"/>
    <x:tableColumn id="17" name="Timing"/>
    <x:tableColumn id="18" name="Location basis"/>
    <x:tableColumn id="19" name="Ease basis"/>
    <x:tableColumn id="20" name="Popularity basis"/>
    <x:tableColumn id="21" name="Topic fit"/>
    <x:tableColumn id="22" name="Application route"/>
    <x:tableColumn id="23" name="Next action"/>
    <x:tableColumn id="24" name="Constraints / unknowns"/>
    <x:tableColumn id="2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unityRoutesTable" displayName="CommunityRoutesTable" ref="A4:M62" headerRowCount="1" totalsRowCount="0" totalsRowShown="0">
  <x:tableColumns count="13">
    <x:tableColumn id="1" name="Overall rank"/>
    <x:tableColumn id="2" name="Composite"/>
    <x:tableColumn id="3" name="Route"/>
    <x:tableColumn id="4" name="Location / mode"/>
    <x:tableColumn id="5" name="Next listed date"/>
    <x:tableColumn id="6" name="Primary talk"/>
    <x:tableColumn id="7" name="Ease"/>
    <x:tableColumn id="8" name="Popularity"/>
    <x:tableColumn id="9" name="Topic fit"/>
    <x:tableColumn id="10" name="Speaker route"/>
    <x:tableColumn id="11" name="Popularity basis"/>
    <x:tableColumn id="12" name="Unknowns"/>
    <x:tableColumn id="13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adlinesTable" displayName="DeadlinesTable" ref="A4:L163" headerRowCount="1" totalsRowCount="0" totalsRowShown="0">
  <x:tableColumns count="12">
    <x:tableColumn id="1" name="Date"/>
    <x:tableColumn id="2" name="Local time"/>
    <x:tableColumn id="3" name="Time zone"/>
    <x:tableColumn id="4" name="Type"/>
    <x:tableColumn id="5" name="Certainty"/>
    <x:tableColumn id="6" name="Event"/>
    <x:tableColumn id="7" name="Edition"/>
    <x:tableColumn id="8" name="CFP status"/>
    <x:tableColumn id="9" name="Talks"/>
    <x:tableColumn id="10" name="Raw source text"/>
    <x:tableColumn id="11" name="Conflict notes"/>
    <x:tableColumn id="12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96edc0ddd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c47365508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85482b704449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7243a31c4e45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18" hidden="0" customWidth="1"/>
    <x:col min="4" max="4" width="30" hidden="0" customWidth="1"/>
    <x:col min="5" max="5" width="28" hidden="0" customWidth="1"/>
    <x:col min="6" max="6" width="13" hidden="0" customWidth="1"/>
    <x:col min="7" max="7" width="13" hidden="0" customWidth="1"/>
    <x:col min="8" max="8" width="36" hidden="0" customWidth="1"/>
    <x:col min="9" max="9" width="10" hidden="0" customWidth="1"/>
    <x:col min="10" max="10" width="9" hidden="0" customWidth="1"/>
    <x:col min="11" max="11" width="11" hidden="0" customWidth="1"/>
    <x:col min="12" max="12" width="9" hidden="0" customWidth="1"/>
    <x:col min="13" max="13" width="9" hidden="0" customWidth="1"/>
    <x:col min="14" max="14" width="20" hidden="0" customWidth="1"/>
    <x:col min="15" max="15" width="42" hidden="0" customWidth="1"/>
  </x:cols>
  <x:sheetData>
    <x:row r="1">
      <x:c r="A1" s="1" t="str">
        <x:v>Speaking opportunity priorities</x:v>
      </x:c>
    </x:row>
    <x:row r="2">
      <x:c r="A2" s="2" t="str">
        <x:v>Lower composite scores rank first. Location and ease receive half of the total weight.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ht="25.5" customHeight="1">
      <x:c r="A4" s="7" t="str">
        <x:v>Rank</x:v>
      </x:c>
      <x:c r="B4" s="7" t="str">
        <x:v>Composite</x:v>
      </x:c>
      <x:c r="C4" s="7" t="str">
        <x:v>Type</x:v>
      </x:c>
      <x:c r="D4" s="7" t="str">
        <x:v>Opportunity</x:v>
      </x:c>
      <x:c r="E4" s="7" t="str">
        <x:v>Location</x:v>
      </x:c>
      <x:c r="F4" s="7" t="str">
        <x:v>Start</x:v>
      </x:c>
      <x:c r="G4" s="7" t="str">
        <x:v>Deadline</x:v>
      </x:c>
      <x:c r="H4" s="7" t="str">
        <x:v>Primary talk</x:v>
      </x:c>
      <x:c r="I4" s="7" t="str">
        <x:v>Location</x:v>
      </x:c>
      <x:c r="J4" s="7" t="str">
        <x:v>Ease</x:v>
      </x:c>
      <x:c r="K4" s="7" t="str">
        <x:v>Popularity</x:v>
      </x:c>
      <x:c r="L4" s="7" t="str">
        <x:v>Fit</x:v>
      </x:c>
      <x:c r="M4" s="7" t="str">
        <x:v>Timing</x:v>
      </x:c>
      <x:c r="N4" s="7" t="str">
        <x:v>Status</x:v>
      </x:c>
      <x:c r="O4" s="7" t="str">
        <x:v>Source</x:v>
      </x:c>
    </x:row>
    <x:row r="5">
      <x:c r="A5" s="11" t="n">
        <x:v>1</x:v>
      </x:c>
      <x:c r="B5" s="14" t="n">
        <x:v>1.545</x:v>
      </x:c>
      <x:c r="C5" s="11" t="str">
        <x:v>community/meetup</x:v>
      </x:c>
      <x:c r="D5" s="11" t="str">
        <x:v>San Diego Python</x:v>
      </x:c>
      <x:c r="E5" s="11" t="str">
        <x:v>San Diego in person; remote speakers accepted</x:v>
      </x:c>
      <x:c r="F5" s="17"/>
      <x:c r="G5" s="17"/>
      <x:c r="H5" s="11" t="str">
        <x:v>The Pager Cried Wolf</x:v>
      </x:c>
      <x:c r="I5" s="11" t="n">
        <x:v>1</x:v>
      </x:c>
      <x:c r="J5" s="11" t="n">
        <x:v>1</x:v>
      </x:c>
      <x:c r="K5" s="11" t="n">
        <x:v>5</x:v>
      </x:c>
      <x:c r="L5" s="11" t="n">
        <x:v>2.38</x:v>
      </x:c>
      <x:c r="M5" s="11" t="n">
        <x:v>3</x:v>
      </x:c>
      <x:c r="N5" s="11" t="str">
        <x:v>public form/contact route</x:v>
      </x:c>
      <x:c r="O5" s="11" t="str">
        <x:v>https://www.sandiegopython.org/</x:v>
      </x:c>
    </x:row>
    <x:row r="6">
      <x:c r="A6" s="12" t="n">
        <x:v>2</x:v>
      </x:c>
      <x:c r="B6" s="15" t="n">
        <x:v>1.57</x:v>
      </x:c>
      <x:c r="C6" s="12" t="str">
        <x:v>conference/event</x:v>
      </x:c>
      <x:c r="D6" s="12" t="str">
        <x:v>ISTELive</x:v>
      </x:c>
      <x:c r="E6" s="12" t="str">
        <x:v>Boston, USA</x:v>
      </x:c>
      <x:c r="F6" s="18" t="n">
        <x:v>46565.5</x:v>
      </x:c>
      <x:c r="G6" s="18" t="n">
        <x:v>46295.5</x:v>
      </x:c>
      <x:c r="H6" s="12" t="str">
        <x:v>A Skeptic's Guide to Surviving AI in Education</x:v>
      </x:c>
      <x:c r="I6" s="12" t="n">
        <x:v>1</x:v>
      </x:c>
      <x:c r="J6" s="12" t="n">
        <x:v>2</x:v>
      </x:c>
      <x:c r="K6" s="12" t="n">
        <x:v>5</x:v>
      </x:c>
      <x:c r="L6" s="12" t="n">
        <x:v>2.08</x:v>
      </x:c>
      <x:c r="M6" s="12" t="n">
        <x:v>2</x:v>
      </x:c>
      <x:c r="N6" s="12" t="str">
        <x:v>open</x:v>
      </x:c>
      <x:c r="O6" s="12" t="str">
        <x:v>https://conference.iste.org/2027/presenters/submit_proposal.php</x:v>
      </x:c>
    </x:row>
    <x:row r="7">
      <x:c r="A7" s="12" t="n">
        <x:v>3</x:v>
      </x:c>
      <x:c r="B7" s="15" t="n">
        <x:v>1.63</x:v>
      </x:c>
      <x:c r="C7" s="12" t="str">
        <x:v>community/meetup</x:v>
      </x:c>
      <x:c r="D7" s="12" t="str">
        <x:v>Rocky Mountain AI Interest Group (RMAIIG)</x:v>
      </x:c>
      <x:c r="E7" s="12" t="str">
        <x:v>Boulder, Broomfield, Denver, and Fort Collins; in person</x:v>
      </x:c>
      <x:c r="F7" s="18" t="n">
        <x:v>46282.5</x:v>
      </x:c>
      <x:c r="G7" s="18"/>
      <x:c r="H7" s="12" t="str">
        <x:v>A Skeptic's Guide to Surviving AI in Education</x:v>
      </x:c>
      <x:c r="I7" s="12" t="n">
        <x:v>1</x:v>
      </x:c>
      <x:c r="J7" s="12" t="n">
        <x:v>1</x:v>
      </x:c>
      <x:c r="K7" s="12" t="n">
        <x:v>4</x:v>
      </x:c>
      <x:c r="L7" s="12" t="n">
        <x:v>2.12</x:v>
      </x:c>
      <x:c r="M7" s="12" t="n">
        <x:v>3</x:v>
      </x:c>
      <x:c r="N7" s="12" t="str">
        <x:v>public form/contact route</x:v>
      </x:c>
      <x:c r="O7" s="12" t="str">
        <x:v>https://docs.google.com/forms/d/e/1FAIpQLSfN6b3LnMY6p6ppoCWQRxPisIXOZxNIUELyiobzZ3J8BHj5fw/viewform</x:v>
      </x:c>
    </x:row>
    <x:row r="8">
      <x:c r="A8" s="12" t="n">
        <x:v>4</x:v>
      </x:c>
      <x:c r="B8" s="15" t="n">
        <x:v>1.657</x:v>
      </x:c>
      <x:c r="C8" s="12" t="str">
        <x:v>conference/event</x:v>
      </x:c>
      <x:c r="D8" s="12" t="str">
        <x:v>SREcon Americas</x:v>
      </x:c>
      <x:c r="E8" s="12" t="str">
        <x:v>Seattle, United States</x:v>
      </x:c>
      <x:c r="F8" s="18" t="n">
        <x:v>46489.5</x:v>
      </x:c>
      <x:c r="G8" s="18" t="n">
        <x:v>46345.5</x:v>
      </x:c>
      <x:c r="H8" s="12" t="str">
        <x:v>Three Search Methods in a Fundable Trenchcoat</x:v>
      </x:c>
      <x:c r="I8" s="12" t="n">
        <x:v>1</x:v>
      </x:c>
      <x:c r="J8" s="12" t="n">
        <x:v>2</x:v>
      </x:c>
      <x:c r="K8" s="12" t="n">
        <x:v>4</x:v>
      </x:c>
      <x:c r="L8" s="12" t="n">
        <x:v>1.43</x:v>
      </x:c>
      <x:c r="M8" s="12" t="n">
        <x:v>3</x:v>
      </x:c>
      <x:c r="N8" s="12" t="str">
        <x:v>open</x:v>
      </x:c>
      <x:c r="O8" s="12" t="str">
        <x:v>https://www.usenix.org/conference/srecon27americas/call-for-participation</x:v>
      </x:c>
    </x:row>
    <x:row r="9">
      <x:c r="A9" s="12" t="n">
        <x:v>5</x:v>
      </x:c>
      <x:c r="B9" s="15" t="n">
        <x:v>1.695</x:v>
      </x:c>
      <x:c r="C9" s="12" t="str">
        <x:v>community/meetup</x:v>
      </x:c>
      <x:c r="D9" s="12" t="str">
        <x:v>ACM Austin: Enterprise AI &amp; Engineering</x:v>
      </x:c>
      <x:c r="E9" s="12" t="str">
        <x:v>Austin; in person with some online programming</x:v>
      </x:c>
      <x:c r="F9" s="18" t="n">
        <x:v>46282.5</x:v>
      </x:c>
      <x:c r="G9" s="18"/>
      <x:c r="H9" s="12" t="str">
        <x:v>Break the Mirror on Purpose</x:v>
      </x:c>
      <x:c r="I9" s="12" t="n">
        <x:v>1</x:v>
      </x:c>
      <x:c r="J9" s="12" t="n">
        <x:v>1</x:v>
      </x:c>
      <x:c r="K9" s="12" t="n">
        <x:v>4</x:v>
      </x:c>
      <x:c r="L9" s="12" t="n">
        <x:v>2.38</x:v>
      </x:c>
      <x:c r="M9" s="12" t="n">
        <x:v>3</x:v>
      </x:c>
      <x:c r="N9" s="12" t="str">
        <x:v>public form/contact route</x:v>
      </x:c>
      <x:c r="O9" s="12" t="str">
        <x:v>https://sessionize.com/austin-acm-meetup/</x:v>
      </x:c>
    </x:row>
    <x:row r="10">
      <x:c r="A10" s="12" t="n">
        <x:v>6</x:v>
      </x:c>
      <x:c r="B10" s="15" t="n">
        <x:v>1.695</x:v>
      </x:c>
      <x:c r="C10" s="12" t="str">
        <x:v>community/meetup</x:v>
      </x:c>
      <x:c r="D10" s="12" t="str">
        <x:v>Denver DevOps Monthly Meetup</x:v>
      </x:c>
      <x:c r="E10" s="12" t="str">
        <x:v>Code Talent, Denver; monthly, in person</x:v>
      </x:c>
      <x:c r="F10" s="18" t="n">
        <x:v>46310.5</x:v>
      </x:c>
      <x:c r="G10" s="18"/>
      <x:c r="H10" s="12" t="str">
        <x:v>The Pager Cried Wolf</x:v>
      </x:c>
      <x:c r="I10" s="12" t="n">
        <x:v>1</x:v>
      </x:c>
      <x:c r="J10" s="12" t="n">
        <x:v>1</x:v>
      </x:c>
      <x:c r="K10" s="12" t="n">
        <x:v>4</x:v>
      </x:c>
      <x:c r="L10" s="12" t="n">
        <x:v>2.38</x:v>
      </x:c>
      <x:c r="M10" s="12" t="n">
        <x:v>3</x:v>
      </x:c>
      <x:c r="N10" s="12" t="str">
        <x:v>public form/contact route</x:v>
      </x:c>
      <x:c r="O10" s="12" t="str">
        <x:v>https://www.meetup.com/denverdevops/</x:v>
      </x:c>
    </x:row>
    <x:row r="11">
      <x:c r="A11" s="12" t="n">
        <x:v>7</x:v>
      </x:c>
      <x:c r="B11" s="15" t="n">
        <x:v>1.695</x:v>
      </x:c>
      <x:c r="C11" s="12" t="str">
        <x:v>community/meetup</x:v>
      </x:c>
      <x:c r="D11" s="12" t="str">
        <x:v>FrontEndParty</x:v>
      </x:c>
      <x:c r="E11" s="12" t="str">
        <x:v>New Orleans; monthly in person</x:v>
      </x:c>
      <x:c r="F11" s="18" t="n">
        <x:v>46273.5</x:v>
      </x:c>
      <x:c r="G11" s="18"/>
      <x:c r="H11" s="12" t="str">
        <x:v>Break the Mirror on Purpose</x:v>
      </x:c>
      <x:c r="I11" s="12" t="n">
        <x:v>1</x:v>
      </x:c>
      <x:c r="J11" s="12" t="n">
        <x:v>1</x:v>
      </x:c>
      <x:c r="K11" s="12" t="n">
        <x:v>4</x:v>
      </x:c>
      <x:c r="L11" s="12" t="n">
        <x:v>2.38</x:v>
      </x:c>
      <x:c r="M11" s="12" t="n">
        <x:v>3</x:v>
      </x:c>
      <x:c r="N11" s="12" t="str">
        <x:v>public form/contact route</x:v>
      </x:c>
      <x:c r="O11" s="12" t="str">
        <x:v>https://www.meetup.com/frontendparty/</x:v>
      </x:c>
    </x:row>
    <x:row r="12">
      <x:c r="A12" s="12" t="n">
        <x:v>8</x:v>
      </x:c>
      <x:c r="B12" s="15" t="n">
        <x:v>1.708</x:v>
      </x:c>
      <x:c r="C12" s="12" t="str">
        <x:v>conference/event</x:v>
      </x:c>
      <x:c r="D12" s="12" t="str">
        <x:v>DeveloperWeek</x:v>
      </x:c>
      <x:c r="E12" s="12" t="str">
        <x:v>Santa Clara, United States</x:v>
      </x:c>
      <x:c r="F12" s="18" t="n">
        <x:v>46427.5</x:v>
      </x:c>
      <x:c r="G12" s="18" t="n">
        <x:v>46283.5</x:v>
      </x:c>
      <x:c r="H12" s="12" t="str">
        <x:v>The Pager Cried Wolf</x:v>
      </x:c>
      <x:c r="I12" s="12" t="n">
        <x:v>2</x:v>
      </x:c>
      <x:c r="J12" s="12" t="n">
        <x:v>2</x:v>
      </x:c>
      <x:c r="K12" s="12" t="n">
        <x:v>5</x:v>
      </x:c>
      <x:c r="L12" s="12" t="n">
        <x:v>1.83</x:v>
      </x:c>
      <x:c r="M12" s="12" t="n">
        <x:v>1</x:v>
      </x:c>
      <x:c r="N12" s="12" t="str">
        <x:v>open</x:v>
      </x:c>
      <x:c r="O12" s="12" t="str">
        <x:v>https://www.developerweek.com/speakers/apply-to-speak/</x:v>
      </x:c>
    </x:row>
    <x:row r="13">
      <x:c r="A13" s="12" t="n">
        <x:v>9</x:v>
      </x:c>
      <x:c r="B13" s="15" t="n">
        <x:v>1.71</x:v>
      </x:c>
      <x:c r="C13" s="12" t="str">
        <x:v>conference/event</x:v>
      </x:c>
      <x:c r="D13" s="12" t="str">
        <x:v>ProductWorld</x:v>
      </x:c>
      <x:c r="E13" s="12" t="str">
        <x:v>Santa Clara, United States</x:v>
      </x:c>
      <x:c r="F13" s="18" t="n">
        <x:v>46427.5</x:v>
      </x:c>
      <x:c r="G13" s="18" t="n">
        <x:v>46283.5</x:v>
      </x:c>
      <x:c r="H13" s="12" t="str">
        <x:v>Break the Mirror on Purpose</x:v>
      </x:c>
      <x:c r="I13" s="12" t="n">
        <x:v>2</x:v>
      </x:c>
      <x:c r="J13" s="12" t="n">
        <x:v>2</x:v>
      </x:c>
      <x:c r="K13" s="12" t="n">
        <x:v>4</x:v>
      </x:c>
      <x:c r="L13" s="12" t="n">
        <x:v>1.24</x:v>
      </x:c>
      <x:c r="M13" s="12" t="n">
        <x:v>1</x:v>
      </x:c>
      <x:c r="N13" s="12" t="str">
        <x:v>open</x:v>
      </x:c>
      <x:c r="O13" s="12" t="str">
        <x:v>https://sessionize.com/productworld-2027/</x:v>
      </x:c>
    </x:row>
    <x:row r="14">
      <x:c r="A14" s="12" t="n">
        <x:v>10</x:v>
      </x:c>
      <x:c r="B14" s="15" t="n">
        <x:v>1.74</x:v>
      </x:c>
      <x:c r="C14" s="12" t="str">
        <x:v>conference/event</x:v>
      </x:c>
      <x:c r="D14" s="12" t="str">
        <x:v>PlatformCon</x:v>
      </x:c>
      <x:c r="E14" s="12" t="str">
        <x:v>London; New York; online, UK; USA; online</x:v>
      </x:c>
      <x:c r="F14" s="18" t="n">
        <x:v>46560.5</x:v>
      </x:c>
      <x:c r="G14" s="18"/>
      <x:c r="H14" s="12" t="str">
        <x:v>Buy Me a Free Tier</x:v>
      </x:c>
      <x:c r="I14" s="12" t="n">
        <x:v>1</x:v>
      </x:c>
      <x:c r="J14" s="12" t="n">
        <x:v>2</x:v>
      </x:c>
      <x:c r="K14" s="12" t="n">
        <x:v>5</x:v>
      </x:c>
      <x:c r="L14" s="12" t="n">
        <x:v>2.36</x:v>
      </x:c>
      <x:c r="M14" s="12" t="n">
        <x:v>3</x:v>
      </x:c>
      <x:c r="N14" s="12" t="str">
        <x:v>announced-not-open</x:v>
      </x:c>
      <x:c r="O14" s="12" t="str">
        <x:v>https://platformcon.com/</x:v>
      </x:c>
    </x:row>
    <x:row r="15">
      <x:c r="A15" s="12" t="n">
        <x:v>11</x:v>
      </x:c>
      <x:c r="B15" s="15" t="n">
        <x:v>1.745</x:v>
      </x:c>
      <x:c r="C15" s="12" t="str">
        <x:v>community/meetup</x:v>
      </x:c>
      <x:c r="D15" s="12" t="str">
        <x:v>Boston AI Developers Group / AI Camp</x:v>
      </x:c>
      <x:c r="E15" s="12" t="str">
        <x:v>Boston; in person, with some networked online events</x:v>
      </x:c>
      <x:c r="F15" s="18" t="n">
        <x:v>46294.5</x:v>
      </x:c>
      <x:c r="G15" s="18"/>
      <x:c r="H15" s="12" t="str">
        <x:v>Conjure Exactly Enough</x:v>
      </x:c>
      <x:c r="I15" s="12" t="n">
        <x:v>1</x:v>
      </x:c>
      <x:c r="J15" s="12" t="n">
        <x:v>2</x:v>
      </x:c>
      <x:c r="K15" s="12" t="n">
        <x:v>5</x:v>
      </x:c>
      <x:c r="L15" s="12" t="n">
        <x:v>2.38</x:v>
      </x:c>
      <x:c r="M15" s="12" t="n">
        <x:v>3</x:v>
      </x:c>
      <x:c r="N15" s="12" t="str">
        <x:v>public form/contact route</x:v>
      </x:c>
      <x:c r="O15" s="12" t="str">
        <x:v>https://www.meetup.com/aittg-boston/</x:v>
      </x:c>
    </x:row>
    <x:row r="16">
      <x:c r="A16" s="12" t="n">
        <x:v>12</x:v>
      </x:c>
      <x:c r="B16" s="15" t="n">
        <x:v>1.745</x:v>
      </x:c>
      <x:c r="C16" s="12" t="str">
        <x:v>community/meetup</x:v>
      </x:c>
      <x:c r="D16" s="12" t="str">
        <x:v>NYC AI Developers Group / AI Camp</x:v>
      </x:c>
      <x:c r="E16" s="12" t="str">
        <x:v>New York City; primarily in person</x:v>
      </x:c>
      <x:c r="F16" s="18" t="n">
        <x:v>46282.5</x:v>
      </x:c>
      <x:c r="G16" s="18"/>
      <x:c r="H16" s="12" t="str">
        <x:v>Conjure Exactly Enough</x:v>
      </x:c>
      <x:c r="I16" s="12" t="n">
        <x:v>1</x:v>
      </x:c>
      <x:c r="J16" s="12" t="n">
        <x:v>2</x:v>
      </x:c>
      <x:c r="K16" s="12" t="n">
        <x:v>5</x:v>
      </x:c>
      <x:c r="L16" s="12" t="n">
        <x:v>2.38</x:v>
      </x:c>
      <x:c r="M16" s="12" t="n">
        <x:v>3</x:v>
      </x:c>
      <x:c r="N16" s="12" t="str">
        <x:v>public form/contact route</x:v>
      </x:c>
      <x:c r="O16" s="12" t="str">
        <x:v>https://www.meetup.com/aittg-nyc/</x:v>
      </x:c>
    </x:row>
    <x:row r="17">
      <x:c r="A17" s="12" t="n">
        <x:v>13</x:v>
      </x:c>
      <x:c r="B17" s="15" t="n">
        <x:v>1.745</x:v>
      </x:c>
      <x:c r="C17" s="12" t="str">
        <x:v>community/meetup</x:v>
      </x:c>
      <x:c r="D17" s="12" t="str">
        <x:v>Orlando Developers</x:v>
      </x:c>
      <x:c r="E17" s="12" t="str">
        <x:v>Orlando; in person</x:v>
      </x:c>
      <x:c r="F17" s="18"/>
      <x:c r="G17" s="18"/>
      <x:c r="H17" s="12" t="str">
        <x:v>Break the Mirror on Purpose</x:v>
      </x:c>
      <x:c r="I17" s="12" t="n">
        <x:v>1</x:v>
      </x:c>
      <x:c r="J17" s="12" t="n">
        <x:v>2</x:v>
      </x:c>
      <x:c r="K17" s="12" t="n">
        <x:v>5</x:v>
      </x:c>
      <x:c r="L17" s="12" t="n">
        <x:v>2.38</x:v>
      </x:c>
      <x:c r="M17" s="12" t="n">
        <x:v>3</x:v>
      </x:c>
      <x:c r="N17" s="12" t="str">
        <x:v>public form/contact route</x:v>
      </x:c>
      <x:c r="O17" s="12" t="str">
        <x:v>https://www.meetup.com/orlandodevs/</x:v>
      </x:c>
    </x:row>
    <x:row r="18">
      <x:c r="A18" s="12" t="n">
        <x:v>14</x:v>
      </x:c>
      <x:c r="B18" s="15" t="n">
        <x:v>1.78</x:v>
      </x:c>
      <x:c r="C18" s="12" t="str">
        <x:v>community/meetup</x:v>
      </x:c>
      <x:c r="D18" s="12" t="str">
        <x:v>Artificial Intelligencers</x:v>
      </x:c>
      <x:c r="E18" s="12" t="str">
        <x:v>Nashville/Brentwood; recurring in person</x:v>
      </x:c>
      <x:c r="F18" s="18" t="n">
        <x:v>46289.5</x:v>
      </x:c>
      <x:c r="G18" s="18"/>
      <x:c r="H18" s="12" t="str">
        <x:v>Conjure Exactly Enough</x:v>
      </x:c>
      <x:c r="I18" s="12" t="n">
        <x:v>1</x:v>
      </x:c>
      <x:c r="J18" s="12" t="n">
        <x:v>1</x:v>
      </x:c>
      <x:c r="K18" s="12" t="n">
        <x:v>3</x:v>
      </x:c>
      <x:c r="L18" s="12" t="n">
        <x:v>2.12</x:v>
      </x:c>
      <x:c r="M18" s="12" t="n">
        <x:v>3</x:v>
      </x:c>
      <x:c r="N18" s="12" t="str">
        <x:v>public form/contact route</x:v>
      </x:c>
      <x:c r="O18" s="12" t="str">
        <x:v>https://www.meetup.com/nashville-ai-engineering/</x:v>
      </x:c>
    </x:row>
    <x:row r="19">
      <x:c r="A19" s="12" t="n">
        <x:v>15</x:v>
      </x:c>
      <x:c r="B19" s="15" t="n">
        <x:v>1.82</x:v>
      </x:c>
      <x:c r="C19" s="12" t="str">
        <x:v>conference/event</x:v>
      </x:c>
      <x:c r="D19" s="12" t="str">
        <x:v>Data Summit</x:v>
      </x:c>
      <x:c r="E19" s="12" t="str">
        <x:v>Boston, United States</x:v>
      </x:c>
      <x:c r="F19" s="18" t="n">
        <x:v>46518.5</x:v>
      </x:c>
      <x:c r="G19" s="18" t="n">
        <x:v>46367.5</x:v>
      </x:c>
      <x:c r="H19" s="12" t="str">
        <x:v>Compute, Please (and a Receipt)</x:v>
      </x:c>
      <x:c r="I19" s="12" t="n">
        <x:v>1</x:v>
      </x:c>
      <x:c r="J19" s="12" t="n">
        <x:v>2</x:v>
      </x:c>
      <x:c r="K19" s="12" t="n">
        <x:v>4</x:v>
      </x:c>
      <x:c r="L19" s="12" t="n">
        <x:v>2.08</x:v>
      </x:c>
      <x:c r="M19" s="12" t="n">
        <x:v>3</x:v>
      </x:c>
      <x:c r="N19" s="12" t="str">
        <x:v>open</x:v>
      </x:c>
      <x:c r="O19" s="12" t="str">
        <x:v>https://www.dbta.com/DataSummit/2027/CallForSpeakers.aspx</x:v>
      </x:c>
    </x:row>
    <x:row r="20">
      <x:c r="A20" s="12" t="n">
        <x:v>16</x:v>
      </x:c>
      <x:c r="B20" s="15" t="n">
        <x:v>1.83</x:v>
      </x:c>
      <x:c r="C20" s="12" t="str">
        <x:v>community/meetup</x:v>
      </x:c>
      <x:c r="D20" s="12" t="str">
        <x:v>AI &amp; Product Colorado</x:v>
      </x:c>
      <x:c r="E20" s="12" t="str">
        <x:v>Boulder and Denver; monthly, in person</x:v>
      </x:c>
      <x:c r="F20" s="18" t="n">
        <x:v>46279.5</x:v>
      </x:c>
      <x:c r="G20" s="18"/>
      <x:c r="H20" s="12" t="str">
        <x:v>Break the Mirror on Purpose</x:v>
      </x:c>
      <x:c r="I20" s="12" t="n">
        <x:v>1</x:v>
      </x:c>
      <x:c r="J20" s="12" t="n">
        <x:v>2</x:v>
      </x:c>
      <x:c r="K20" s="12" t="n">
        <x:v>4</x:v>
      </x:c>
      <x:c r="L20" s="12" t="n">
        <x:v>2.12</x:v>
      </x:c>
      <x:c r="M20" s="12" t="n">
        <x:v>3</x:v>
      </x:c>
      <x:c r="N20" s="12" t="str">
        <x:v>public form/contact route</x:v>
      </x:c>
      <x:c r="O20" s="12" t="str">
        <x:v>https://www.meetup.com/meetup-group-ai-and-product/</x:v>
      </x:c>
    </x:row>
    <x:row r="21">
      <x:c r="A21" s="12" t="n">
        <x:v>17</x:v>
      </x:c>
      <x:c r="B21" s="15" t="n">
        <x:v>1.83</x:v>
      </x:c>
      <x:c r="C21" s="12" t="str">
        <x:v>community/meetup</x:v>
      </x:c>
      <x:c r="D21" s="12" t="str">
        <x:v>OLLI at the University of Denver</x:v>
      </x:c>
      <x:c r="E21" s="12" t="str">
        <x:v>Six Denver-metro sites and Zoom; adult lifelong learning</x:v>
      </x:c>
      <x:c r="F21" s="18" t="n">
        <x:v>46281.5</x:v>
      </x:c>
      <x:c r="G21" s="18"/>
      <x:c r="H21" s="12" t="str">
        <x:v>Conjure Exactly Enough</x:v>
      </x:c>
      <x:c r="I21" s="12" t="n">
        <x:v>1</x:v>
      </x:c>
      <x:c r="J21" s="12" t="n">
        <x:v>2</x:v>
      </x:c>
      <x:c r="K21" s="12" t="n">
        <x:v>4</x:v>
      </x:c>
      <x:c r="L21" s="12" t="n">
        <x:v>2.12</x:v>
      </x:c>
      <x:c r="M21" s="12" t="n">
        <x:v>3</x:v>
      </x:c>
      <x:c r="N21" s="12" t="str">
        <x:v>public form/contact route</x:v>
      </x:c>
      <x:c r="O21" s="12" t="str">
        <x:v>https://olli.du.edu/olli/about/</x:v>
      </x:c>
    </x:row>
    <x:row r="22">
      <x:c r="A22" s="12" t="n">
        <x:v>18</x:v>
      </x:c>
      <x:c r="B22" s="15" t="n">
        <x:v>1.833</x:v>
      </x:c>
      <x:c r="C22" s="12" t="str">
        <x:v>conference/event</x:v>
      </x:c>
      <x:c r="D22" s="12" t="str">
        <x:v>Lilly Conference Austin</x:v>
      </x:c>
      <x:c r="E22" s="12" t="str">
        <x:v>Austin, United States</x:v>
      </x:c>
      <x:c r="F22" s="18" t="n">
        <x:v>46524.5</x:v>
      </x:c>
      <x:c r="G22" s="18" t="n">
        <x:v>46341.5</x:v>
      </x:c>
      <x:c r="H22" s="12" t="str">
        <x:v>Outsmart Your Lying, Cheating Students</x:v>
      </x:c>
      <x:c r="I22" s="12" t="n">
        <x:v>1</x:v>
      </x:c>
      <x:c r="J22" s="12" t="n">
        <x:v>2</x:v>
      </x:c>
      <x:c r="K22" s="12" t="n">
        <x:v>4</x:v>
      </x:c>
      <x:c r="L22" s="12" t="n">
        <x:v>2.13</x:v>
      </x:c>
      <x:c r="M22" s="12" t="n">
        <x:v>3</x:v>
      </x:c>
      <x:c r="N22" s="12" t="str">
        <x:v>open-rolling</x:v>
      </x:c>
      <x:c r="O22" s="12" t="str">
        <x:v>https://www.lillyconferences-tx.com/proposals</x:v>
      </x:c>
    </x:row>
    <x:row r="23">
      <x:c r="A23" s="12" t="n">
        <x:v>19</x:v>
      </x:c>
      <x:c r="B23" s="15" t="n">
        <x:v>1.845</x:v>
      </x:c>
      <x:c r="C23" s="12" t="str">
        <x:v>community/meetup</x:v>
      </x:c>
      <x:c r="D23" s="12" t="str">
        <x:v>Denver AI and Machine Learning Group</x:v>
      </x:c>
      <x:c r="E23" s="12" t="str">
        <x:v>Westminster/Denver; in person with study sessions</x:v>
      </x:c>
      <x:c r="F23" s="18" t="n">
        <x:v>46278.5</x:v>
      </x:c>
      <x:c r="G23" s="18"/>
      <x:c r="H23" s="12" t="str">
        <x:v>Conjure Exactly Enough</x:v>
      </x:c>
      <x:c r="I23" s="12" t="n">
        <x:v>1</x:v>
      </x:c>
      <x:c r="J23" s="12" t="n">
        <x:v>1</x:v>
      </x:c>
      <x:c r="K23" s="12" t="n">
        <x:v>3</x:v>
      </x:c>
      <x:c r="L23" s="12" t="n">
        <x:v>2.38</x:v>
      </x:c>
      <x:c r="M23" s="12" t="n">
        <x:v>3</x:v>
      </x:c>
      <x:c r="N23" s="12" t="str">
        <x:v>public form/contact route</x:v>
      </x:c>
      <x:c r="O23" s="12" t="str">
        <x:v>https://www.meetup.com/denverml/</x:v>
      </x:c>
    </x:row>
    <x:row r="24">
      <x:c r="A24" s="12" t="n">
        <x:v>20</x:v>
      </x:c>
      <x:c r="B24" s="15" t="n">
        <x:v>1.895</x:v>
      </x:c>
      <x:c r="C24" s="12" t="str">
        <x:v>community/meetup</x:v>
      </x:c>
      <x:c r="D24" s="12" t="str">
        <x:v>AI LA</x:v>
      </x:c>
      <x:c r="E24" s="12" t="str">
        <x:v>Los Angeles; third-Thursday monthly format, in person</x:v>
      </x:c>
      <x:c r="F24" s="18"/>
      <x:c r="G24" s="18"/>
      <x:c r="H24" s="12" t="str">
        <x:v>A Skeptic's Guide to Surviving AI in Education</x:v>
      </x:c>
      <x:c r="I24" s="12" t="n">
        <x:v>1</x:v>
      </x:c>
      <x:c r="J24" s="12" t="n">
        <x:v>2</x:v>
      </x:c>
      <x:c r="K24" s="12" t="n">
        <x:v>4</x:v>
      </x:c>
      <x:c r="L24" s="12" t="n">
        <x:v>2.38</x:v>
      </x:c>
      <x:c r="M24" s="12" t="n">
        <x:v>3</x:v>
      </x:c>
      <x:c r="N24" s="12" t="str">
        <x:v>public form/contact route</x:v>
      </x:c>
      <x:c r="O24" s="12" t="str">
        <x:v>https://www.meetup.com/ai-la-meetup/</x:v>
      </x:c>
    </x:row>
    <x:row r="25">
      <x:c r="A25" s="12" t="n">
        <x:v>21</x:v>
      </x:c>
      <x:c r="B25" s="15" t="n">
        <x:v>1.895</x:v>
      </x:c>
      <x:c r="C25" s="12" t="str">
        <x:v>community/meetup</x:v>
      </x:c>
      <x:c r="D25" s="12" t="str">
        <x:v>Denver AI Developers Group / AI Camp</x:v>
      </x:c>
      <x:c r="E25" s="12" t="str">
        <x:v>Denver and online</x:v>
      </x:c>
      <x:c r="F25" s="18" t="n">
        <x:v>46287.5</x:v>
      </x:c>
      <x:c r="G25" s="18"/>
      <x:c r="H25" s="12" t="str">
        <x:v>Conjure Exactly Enough</x:v>
      </x:c>
      <x:c r="I25" s="12" t="n">
        <x:v>1</x:v>
      </x:c>
      <x:c r="J25" s="12" t="n">
        <x:v>2</x:v>
      </x:c>
      <x:c r="K25" s="12" t="n">
        <x:v>4</x:v>
      </x:c>
      <x:c r="L25" s="12" t="n">
        <x:v>2.38</x:v>
      </x:c>
      <x:c r="M25" s="12" t="n">
        <x:v>3</x:v>
      </x:c>
      <x:c r="N25" s="12" t="str">
        <x:v>public form/contact route</x:v>
      </x:c>
      <x:c r="O25" s="12" t="str">
        <x:v>https://www.aicamp.ai/</x:v>
      </x:c>
    </x:row>
    <x:row r="26">
      <x:c r="A26" s="12" t="n">
        <x:v>22</x:v>
      </x:c>
      <x:c r="B26" s="15" t="n">
        <x:v>1.895</x:v>
      </x:c>
      <x:c r="C26" s="12" t="str">
        <x:v>community/meetup</x:v>
      </x:c>
      <x:c r="D26" s="12" t="str">
        <x:v>Denver AI Group</x:v>
      </x:c>
      <x:c r="E26" s="12" t="str">
        <x:v>University of Denver; monthly, in person</x:v>
      </x:c>
      <x:c r="F26" s="18" t="n">
        <x:v>46288.5</x:v>
      </x:c>
      <x:c r="G26" s="18"/>
      <x:c r="H26" s="12" t="str">
        <x:v>Break the Mirror on Purpose</x:v>
      </x:c>
      <x:c r="I26" s="12" t="n">
        <x:v>1</x:v>
      </x:c>
      <x:c r="J26" s="12" t="n">
        <x:v>2</x:v>
      </x:c>
      <x:c r="K26" s="12" t="n">
        <x:v>4</x:v>
      </x:c>
      <x:c r="L26" s="12" t="n">
        <x:v>2.38</x:v>
      </x:c>
      <x:c r="M26" s="12" t="n">
        <x:v>3</x:v>
      </x:c>
      <x:c r="N26" s="12" t="str">
        <x:v>public form/contact route</x:v>
      </x:c>
      <x:c r="O26" s="12" t="str">
        <x:v>https://www.meetup.com/denverai/</x:v>
      </x:c>
    </x:row>
    <x:row r="27">
      <x:c r="A27" s="12" t="n">
        <x:v>23</x:v>
      </x:c>
      <x:c r="B27" s="15" t="n">
        <x:v>1.9</x:v>
      </x:c>
      <x:c r="C27" s="12" t="str">
        <x:v>conference/event</x:v>
      </x:c>
      <x:c r="D27" s="12" t="str">
        <x:v>UPCEA Digital Teaching &amp; Learning Conference</x:v>
      </x:c>
      <x:c r="E27" s="12" t="str">
        <x:v>virtual</x:v>
      </x:c>
      <x:c r="F27" s="18" t="n">
        <x:v>46421.5</x:v>
      </x:c>
      <x:c r="G27" s="18" t="n">
        <x:v>46295.5</x:v>
      </x:c>
      <x:c r="H27" s="12" t="str">
        <x:v>A Skeptic's Guide to Surviving AI in Education</x:v>
      </x:c>
      <x:c r="I27" s="12" t="n">
        <x:v>1</x:v>
      </x:c>
      <x:c r="J27" s="12" t="n">
        <x:v>4</x:v>
      </x:c>
      <x:c r="K27" s="12" t="n">
        <x:v>4</x:v>
      </x:c>
      <x:c r="L27" s="12" t="n">
        <x:v>1.2</x:v>
      </x:c>
      <x:c r="M27" s="12" t="n">
        <x:v>2</x:v>
      </x:c>
      <x:c r="N27" s="12" t="str">
        <x:v>open</x:v>
      </x:c>
      <x:c r="O27" s="12" t="str">
        <x:v>https://conferences.upcea.edu/DTL2027/proposals.html</x:v>
      </x:c>
    </x:row>
    <x:row r="28">
      <x:c r="A28" s="12" t="n">
        <x:v>24</x:v>
      </x:c>
      <x:c r="B28" s="15" t="n">
        <x:v>1.905</x:v>
      </x:c>
      <x:c r="C28" s="12" t="str">
        <x:v>conference/event</x:v>
      </x:c>
      <x:c r="D28" s="12" t="str">
        <x:v>STAREAST</x:v>
      </x:c>
      <x:c r="E28" s="12" t="str">
        <x:v>Orlando, United States</x:v>
      </x:c>
      <x:c r="F28" s="18" t="n">
        <x:v>46502.5</x:v>
      </x:c>
      <x:c r="G28" s="18" t="n">
        <x:v>46271.5</x:v>
      </x:c>
      <x:c r="H28" s="12" t="str">
        <x:v>Stop Looking at My Benchmarks… Get Your Own!</x:v>
      </x:c>
      <x:c r="I28" s="12" t="n">
        <x:v>1</x:v>
      </x:c>
      <x:c r="J28" s="12" t="n">
        <x:v>4</x:v>
      </x:c>
      <x:c r="K28" s="12" t="n">
        <x:v>4</x:v>
      </x:c>
      <x:c r="L28" s="12" t="n">
        <x:v>1.62</x:v>
      </x:c>
      <x:c r="M28" s="12" t="n">
        <x:v>1</x:v>
      </x:c>
      <x:c r="N28" s="12" t="str">
        <x:v>open</x:v>
      </x:c>
      <x:c r="O28" s="12" t="str">
        <x:v>https://stareast.techwell.com/speaker-submission-form-stareast-2027</x:v>
      </x:c>
    </x:row>
    <x:row r="29">
      <x:c r="A29" s="12" t="n">
        <x:v>25</x:v>
      </x:c>
      <x:c r="B29" s="15" t="n">
        <x:v>1.92</x:v>
      </x:c>
      <x:c r="C29" s="12" t="str">
        <x:v>conference/event</x:v>
      </x:c>
      <x:c r="D29" s="12" t="str">
        <x:v>Visual Studio Live!</x:v>
      </x:c>
      <x:c r="E29" s="12" t="str">
        <x:v>Austin, United States</x:v>
      </x:c>
      <x:c r="F29" s="18" t="n">
        <x:v>46509.5</x:v>
      </x:c>
      <x:c r="G29" s="18" t="n">
        <x:v>46300.5</x:v>
      </x:c>
      <x:c r="H29" s="12" t="str">
        <x:v>The Pager Cried Wolf</x:v>
      </x:c>
      <x:c r="I29" s="12" t="n">
        <x:v>1</x:v>
      </x:c>
      <x:c r="J29" s="12" t="n">
        <x:v>4</x:v>
      </x:c>
      <x:c r="K29" s="12" t="n">
        <x:v>4</x:v>
      </x:c>
      <x:c r="L29" s="12" t="n">
        <x:v>1.28</x:v>
      </x:c>
      <x:c r="M29" s="12" t="n">
        <x:v>2</x:v>
      </x:c>
      <x:c r="N29" s="12" t="str">
        <x:v>open</x:v>
      </x:c>
      <x:c r="O29" s="12" t="str">
        <x:v>https://sessionize.com/vslive_austin27/</x:v>
      </x:c>
    </x:row>
    <x:row r="30">
      <x:c r="A30" s="12" t="n">
        <x:v>26</x:v>
      </x:c>
      <x:c r="B30" s="15" t="n">
        <x:v>1.945</x:v>
      </x:c>
      <x:c r="C30" s="12" t="str">
        <x:v>community/meetup</x:v>
      </x:c>
      <x:c r="D30" s="12" t="str">
        <x:v>New Tech Seattle</x:v>
      </x:c>
      <x:c r="E30" s="12" t="str">
        <x:v>Seattle; monthly in person, plus separate virtual programming</x:v>
      </x:c>
      <x:c r="F30" s="18" t="n">
        <x:v>46280.5</x:v>
      </x:c>
      <x:c r="G30" s="18"/>
      <x:c r="H30" s="12" t="str">
        <x:v>Break the Mirror on Purpose</x:v>
      </x:c>
      <x:c r="I30" s="12" t="n">
        <x:v>1</x:v>
      </x:c>
      <x:c r="J30" s="12" t="n">
        <x:v>3</x:v>
      </x:c>
      <x:c r="K30" s="12" t="n">
        <x:v>5</x:v>
      </x:c>
      <x:c r="L30" s="12" t="n">
        <x:v>2.38</x:v>
      </x:c>
      <x:c r="M30" s="12" t="n">
        <x:v>3</x:v>
      </x:c>
      <x:c r="N30" s="12" t="str">
        <x:v>public form/contact route</x:v>
      </x:c>
      <x:c r="O30" s="12" t="str">
        <x:v>https://www.newtechnorthwest.com/about/</x:v>
      </x:c>
    </x:row>
    <x:row r="31">
      <x:c r="A31" s="12" t="n">
        <x:v>27</x:v>
      </x:c>
      <x:c r="B31" s="15" t="n">
        <x:v>1.945</x:v>
      </x:c>
      <x:c r="C31" s="12" t="str">
        <x:v>community/meetup</x:v>
      </x:c>
      <x:c r="D31" s="12" t="str">
        <x:v>ProductTank San Francisco</x:v>
      </x:c>
      <x:c r="E31" s="12" t="str">
        <x:v>San Francisco; in person</x:v>
      </x:c>
      <x:c r="F31" s="18"/>
      <x:c r="G31" s="18"/>
      <x:c r="H31" s="12" t="str">
        <x:v>Break the Mirror on Purpose</x:v>
      </x:c>
      <x:c r="I31" s="12" t="n">
        <x:v>1</x:v>
      </x:c>
      <x:c r="J31" s="12" t="n">
        <x:v>3</x:v>
      </x:c>
      <x:c r="K31" s="12" t="n">
        <x:v>5</x:v>
      </x:c>
      <x:c r="L31" s="12" t="n">
        <x:v>2.38</x:v>
      </x:c>
      <x:c r="M31" s="12" t="n">
        <x:v>3</x:v>
      </x:c>
      <x:c r="N31" s="12" t="str">
        <x:v>public form/contact route</x:v>
      </x:c>
      <x:c r="O31" s="12" t="str">
        <x:v>https://www.mindtheproduct.com/producttank/</x:v>
      </x:c>
    </x:row>
    <x:row r="32">
      <x:c r="A32" s="12" t="n">
        <x:v>28</x:v>
      </x:c>
      <x:c r="B32" s="15" t="n">
        <x:v>1.955</x:v>
      </x:c>
      <x:c r="C32" s="12" t="str">
        <x:v>conference/event</x:v>
      </x:c>
      <x:c r="D32" s="12" t="str">
        <x:v>KubeCon + CloudNativeCon North America</x:v>
      </x:c>
      <x:c r="E32" s="12" t="str">
        <x:v>New Orleans, United States</x:v>
      </x:c>
      <x:c r="F32" s="18" t="n">
        <x:v>46699.5</x:v>
      </x:c>
      <x:c r="G32" s="18"/>
      <x:c r="H32" s="12" t="str">
        <x:v>Conjure Exactly Enough</x:v>
      </x:c>
      <x:c r="I32" s="12" t="n">
        <x:v>1</x:v>
      </x:c>
      <x:c r="J32" s="12" t="n">
        <x:v>2</x:v>
      </x:c>
      <x:c r="K32" s="12" t="n">
        <x:v>5</x:v>
      </x:c>
      <x:c r="L32" s="12" t="n">
        <x:v>3.22</x:v>
      </x:c>
      <x:c r="M32" s="12" t="n">
        <x:v>3</x:v>
      </x:c>
      <x:c r="N32" s="12" t="str">
        <x:v>announced-not-open</x:v>
      </x:c>
      <x:c r="O32" s="12" t="str">
        <x:v>https://events.linuxfoundation.org/kubecon-cloudnativecon-north-america/</x:v>
      </x:c>
    </x:row>
    <x:row r="33">
      <x:c r="A33" s="12" t="n">
        <x:v>29</x:v>
      </x:c>
      <x:c r="B33" s="15" t="n">
        <x:v>1.97</x:v>
      </x:c>
      <x:c r="C33" s="12" t="str">
        <x:v>conference/event</x:v>
      </x:c>
      <x:c r="D33" s="12" t="str">
        <x:v>CES</x:v>
      </x:c>
      <x:c r="E33" s="12" t="str">
        <x:v>Las Vegas, United States</x:v>
      </x:c>
      <x:c r="F33" s="18" t="n">
        <x:v>46393.5</x:v>
      </x:c>
      <x:c r="G33" s="18" t="n">
        <x:v>46274.5</x:v>
      </x:c>
      <x:c r="H33" s="12" t="str">
        <x:v>Turn Your Thinkin' Tokens Up to 11</x:v>
      </x:c>
      <x:c r="I33" s="12" t="n">
        <x:v>1</x:v>
      </x:c>
      <x:c r="J33" s="12" t="n">
        <x:v>5</x:v>
      </x:c>
      <x:c r="K33" s="12" t="n">
        <x:v>5</x:v>
      </x:c>
      <x:c r="L33" s="12" t="n">
        <x:v>1.68</x:v>
      </x:c>
      <x:c r="M33" s="12" t="n">
        <x:v>1</x:v>
      </x:c>
      <x:c r="N33" s="12" t="str">
        <x:v>open</x:v>
      </x:c>
      <x:c r="O33" s="12" t="str">
        <x:v>https://www.ces.tech/cfs</x:v>
      </x:c>
    </x:row>
    <x:row r="34">
      <x:c r="A34" s="12" t="n">
        <x:v>30</x:v>
      </x:c>
      <x:c r="B34" s="15" t="n">
        <x:v>1.995</x:v>
      </x:c>
      <x:c r="C34" s="12" t="str">
        <x:v>community/meetup</x:v>
      </x:c>
      <x:c r="D34" s="12" t="str">
        <x:v>Colorado AI Builders</x:v>
      </x:c>
      <x:c r="E34" s="12" t="str">
        <x:v>Alternates Boulder and Denver about every six weeks; in person</x:v>
      </x:c>
      <x:c r="F34" s="18" t="n">
        <x:v>46280.5</x:v>
      </x:c>
      <x:c r="G34" s="18"/>
      <x:c r="H34" s="12" t="str">
        <x:v>Conjure Exactly Enough</x:v>
      </x:c>
      <x:c r="I34" s="12" t="n">
        <x:v>1</x:v>
      </x:c>
      <x:c r="J34" s="12" t="n">
        <x:v>1</x:v>
      </x:c>
      <x:c r="K34" s="12" t="n">
        <x:v>2</x:v>
      </x:c>
      <x:c r="L34" s="12" t="n">
        <x:v>2.38</x:v>
      </x:c>
      <x:c r="M34" s="12" t="n">
        <x:v>3</x:v>
      </x:c>
      <x:c r="N34" s="12" t="str">
        <x:v>public form/contact route</x:v>
      </x:c>
      <x:c r="O34" s="12" t="str">
        <x:v>https://luma.com/albyi559</x:v>
      </x:c>
    </x:row>
    <x:row r="35">
      <x:c r="A35" s="12" t="n">
        <x:v>31</x:v>
      </x:c>
      <x:c r="B35" s="15" t="n">
        <x:v>1.995</x:v>
      </x:c>
      <x:c r="C35" s="12" t="str">
        <x:v>community/meetup</x:v>
      </x:c>
      <x:c r="D35" s="12" t="str">
        <x:v>Vegas Programmers</x:v>
      </x:c>
      <x:c r="E35" s="12" t="str">
        <x:v>Las Vegas; third Saturday at Tech Alley</x:v>
      </x:c>
      <x:c r="F35" s="18" t="n">
        <x:v>46284.5</x:v>
      </x:c>
      <x:c r="G35" s="18"/>
      <x:c r="H35" s="12" t="str">
        <x:v>Break the Mirror on Purpose</x:v>
      </x:c>
      <x:c r="I35" s="12" t="n">
        <x:v>1</x:v>
      </x:c>
      <x:c r="J35" s="12" t="n">
        <x:v>1</x:v>
      </x:c>
      <x:c r="K35" s="12" t="n">
        <x:v>2</x:v>
      </x:c>
      <x:c r="L35" s="12" t="n">
        <x:v>2.38</x:v>
      </x:c>
      <x:c r="M35" s="12" t="n">
        <x:v>3</x:v>
      </x:c>
      <x:c r="N35" s="12" t="str">
        <x:v>public form/contact route</x:v>
      </x:c>
      <x:c r="O35" s="12" t="str">
        <x:v>https://www.phpvegas.com/</x:v>
      </x:c>
    </x:row>
    <x:row r="36">
      <x:c r="A36" s="12" t="n">
        <x:v>32</x:v>
      </x:c>
      <x:c r="B36" s="15" t="n">
        <x:v>2</x:v>
      </x:c>
      <x:c r="C36" s="12" t="str">
        <x:v>conference/event</x:v>
      </x:c>
      <x:c r="D36" s="12" t="str">
        <x:v>Global AI Community Seattle</x:v>
      </x:c>
      <x:c r="E36" s="12" t="str">
        <x:v>Seattle / Bellevue, United States</x:v>
      </x:c>
      <x:c r="F36" s="18" t="n">
        <x:v>46344.5</x:v>
      </x:c>
      <x:c r="G36" s="18"/>
      <x:c r="H36" s="12" t="str">
        <x:v>Compute, Please (and a Receipt)</x:v>
      </x:c>
      <x:c r="I36" s="12" t="n">
        <x:v>1</x:v>
      </x:c>
      <x:c r="J36" s="12" t="n">
        <x:v>2</x:v>
      </x:c>
      <x:c r="K36" s="12" t="n">
        <x:v>2</x:v>
      </x:c>
      <x:c r="L36" s="12" t="n">
        <x:v>1.6</x:v>
      </x:c>
      <x:c r="M36" s="12" t="n">
        <x:v>3</x:v>
      </x:c>
      <x:c r="N36" s="12" t="str">
        <x:v>rolling</x:v>
      </x:c>
      <x:c r="O36" s="12" t="str">
        <x:v>https://sessionize.com/global-ai-community-seattle/</x:v>
      </x:c>
    </x:row>
    <x:row r="37">
      <x:c r="A37" s="12" t="n">
        <x:v>33</x:v>
      </x:c>
      <x:c r="B37" s="15" t="n">
        <x:v>2</x:v>
      </x:c>
      <x:c r="C37" s="12" t="str">
        <x:v>conference/event</x:v>
      </x:c>
      <x:c r="D37" s="12" t="str">
        <x:v>OLC Innovate</x:v>
      </x:c>
      <x:c r="E37" s="12" t="str">
        <x:v>virtual</x:v>
      </x:c>
      <x:c r="F37" s="18" t="n">
        <x:v>46497.5</x:v>
      </x:c>
      <x:c r="G37" s="18" t="n">
        <x:v>46336.5</x:v>
      </x:c>
      <x:c r="H37" s="12" t="str">
        <x:v>A Skeptic's Guide to Surviving AI in Education</x:v>
      </x:c>
      <x:c r="I37" s="12" t="n">
        <x:v>1</x:v>
      </x:c>
      <x:c r="J37" s="12" t="n">
        <x:v>4</x:v>
      </x:c>
      <x:c r="K37" s="12" t="n">
        <x:v>4</x:v>
      </x:c>
      <x:c r="L37" s="12" t="n">
        <x:v>1.2</x:v>
      </x:c>
      <x:c r="M37" s="12" t="n">
        <x:v>3</x:v>
      </x:c>
      <x:c r="N37" s="12" t="str">
        <x:v>announced-not-open</x:v>
      </x:c>
      <x:c r="O37" s="12" t="str">
        <x:v>https://onlinelearningconsortium.org/conferences/olc-innovate2027/present/</x:v>
      </x:c>
    </x:row>
    <x:row r="38">
      <x:c r="A38" s="12" t="n">
        <x:v>34</x:v>
      </x:c>
      <x:c r="B38" s="15" t="n">
        <x:v>2.002</x:v>
      </x:c>
      <x:c r="C38" s="12" t="str">
        <x:v>conference/event</x:v>
      </x:c>
      <x:c r="D38" s="12" t="str">
        <x:v>WSCUC Accreditation Resource Conference</x:v>
      </x:c>
      <x:c r="E38" s="12" t="str">
        <x:v>San Diego, United States</x:v>
      </x:c>
      <x:c r="F38" s="18" t="n">
        <x:v>46484.5</x:v>
      </x:c>
      <x:c r="G38" s="18" t="n">
        <x:v>46314.5</x:v>
      </x:c>
      <x:c r="H38" s="12" t="str">
        <x:v>Outsmart Your Lying, Cheating Students</x:v>
      </x:c>
      <x:c r="I38" s="12" t="n">
        <x:v>1</x:v>
      </x:c>
      <x:c r="J38" s="12" t="n">
        <x:v>2</x:v>
      </x:c>
      <x:c r="K38" s="12" t="n">
        <x:v>2</x:v>
      </x:c>
      <x:c r="L38" s="12" t="n">
        <x:v>2.01</x:v>
      </x:c>
      <x:c r="M38" s="12" t="n">
        <x:v>2</x:v>
      </x:c>
      <x:c r="N38" s="12" t="str">
        <x:v>open</x:v>
      </x:c>
      <x:c r="O38" s="12" t="str">
        <x:v>https://www.wscuc.org/arc2027cfp/</x:v>
      </x:c>
    </x:row>
    <x:row r="39">
      <x:c r="A39" s="12" t="n">
        <x:v>35</x:v>
      </x:c>
      <x:c r="B39" s="15" t="n">
        <x:v>2.032</x:v>
      </x:c>
      <x:c r="C39" s="12" t="str">
        <x:v>conference/event</x:v>
      </x:c>
      <x:c r="D39" s="12" t="str">
        <x:v>A4Q Global Testing Summit</x:v>
      </x:c>
      <x:c r="E39" s="12" t="str">
        <x:v>online</x:v>
      </x:c>
      <x:c r="F39" s="18" t="n">
        <x:v>46504.5</x:v>
      </x:c>
      <x:c r="G39" s="18"/>
      <x:c r="H39" s="12" t="str">
        <x:v>Stop Looking at My Benchmarks… Get Your Own!</x:v>
      </x:c>
      <x:c r="I39" s="12" t="n">
        <x:v>1</x:v>
      </x:c>
      <x:c r="J39" s="12" t="n">
        <x:v>2</x:v>
      </x:c>
      <x:c r="K39" s="12" t="n">
        <x:v>2</x:v>
      </x:c>
      <x:c r="L39" s="12" t="n">
        <x:v>1.73</x:v>
      </x:c>
      <x:c r="M39" s="12" t="n">
        <x:v>3</x:v>
      </x:c>
      <x:c r="N39" s="12" t="str">
        <x:v>open</x:v>
      </x:c>
      <x:c r="O39" s="12" t="str">
        <x:v>https://testingsummit.com/#call-for-papers</x:v>
      </x:c>
    </x:row>
    <x:row r="40">
      <x:c r="A40" s="12" t="n">
        <x:v>36</x:v>
      </x:c>
      <x:c r="B40" s="15" t="n">
        <x:v>2.04</x:v>
      </x:c>
      <x:c r="C40" s="12" t="str">
        <x:v>conference/event</x:v>
      </x:c>
      <x:c r="D40" s="12" t="str">
        <x:v>ALA Annual Conference and Exhibition</x:v>
      </x:c>
      <x:c r="E40" s="12" t="str">
        <x:v>New Orleans, United States</x:v>
      </x:c>
      <x:c r="F40" s="18" t="n">
        <x:v>46562.5</x:v>
      </x:c>
      <x:c r="G40" s="18" t="n">
        <x:v>46286.5</x:v>
      </x:c>
      <x:c r="H40" s="12" t="str">
        <x:v>A Skeptic's Guide to Surviving AI in Education</x:v>
      </x:c>
      <x:c r="I40" s="12" t="n">
        <x:v>1</x:v>
      </x:c>
      <x:c r="J40" s="12" t="n">
        <x:v>2</x:v>
      </x:c>
      <x:c r="K40" s="12" t="n">
        <x:v>2</x:v>
      </x:c>
      <x:c r="L40" s="12" t="n">
        <x:v>2.16</x:v>
      </x:c>
      <x:c r="M40" s="12" t="n">
        <x:v>2</x:v>
      </x:c>
      <x:c r="N40" s="12" t="str">
        <x:v>open</x:v>
      </x:c>
      <x:c r="O40" s="12" t="str">
        <x:v>https://www.ala.org/conferencesevents/ala-annual-2027-call-proposals</x:v>
      </x:c>
    </x:row>
    <x:row r="41">
      <x:c r="A41" s="12" t="n">
        <x:v>37</x:v>
      </x:c>
      <x:c r="B41" s="15" t="n">
        <x:v>2.045</x:v>
      </x:c>
      <x:c r="C41" s="12" t="str">
        <x:v>community/meetup</x:v>
      </x:c>
      <x:c r="D41" s="12" t="str">
        <x:v>Boulder/Denver Data + AI Meetup</x:v>
      </x:c>
      <x:c r="E41" s="12" t="str">
        <x:v>Boulder/Denver and online</x:v>
      </x:c>
      <x:c r="F41" s="18"/>
      <x:c r="G41" s="18"/>
      <x:c r="H41" s="12" t="str">
        <x:v>Three Search Methods in a Fundable Trenchcoat</x:v>
      </x:c>
      <x:c r="I41" s="12" t="n">
        <x:v>1</x:v>
      </x:c>
      <x:c r="J41" s="12" t="n">
        <x:v>2</x:v>
      </x:c>
      <x:c r="K41" s="12" t="n">
        <x:v>3</x:v>
      </x:c>
      <x:c r="L41" s="12" t="n">
        <x:v>2.38</x:v>
      </x:c>
      <x:c r="M41" s="12" t="n">
        <x:v>3</x:v>
      </x:c>
      <x:c r="N41" s="12" t="str">
        <x:v>public form/contact route</x:v>
      </x:c>
      <x:c r="O41" s="12" t="str">
        <x:v>https://www.meetup.com/boulder-denver-data-ai-meetup/</x:v>
      </x:c>
    </x:row>
    <x:row r="42">
      <x:c r="A42" s="12" t="n">
        <x:v>38</x:v>
      </x:c>
      <x:c r="B42" s="15" t="n">
        <x:v>2.045</x:v>
      </x:c>
      <x:c r="C42" s="12" t="str">
        <x:v>community/meetup</x:v>
      </x:c>
      <x:c r="D42" s="12" t="str">
        <x:v>Develop Denver</x:v>
      </x:c>
      <x:c r="E42" s="12" t="str">
        <x:v>Denver and online</x:v>
      </x:c>
      <x:c r="F42" s="18"/>
      <x:c r="G42" s="18"/>
      <x:c r="H42" s="12" t="str">
        <x:v>Break the Mirror on Purpose</x:v>
      </x:c>
      <x:c r="I42" s="12" t="n">
        <x:v>1</x:v>
      </x:c>
      <x:c r="J42" s="12" t="n">
        <x:v>2</x:v>
      </x:c>
      <x:c r="K42" s="12" t="n">
        <x:v>3</x:v>
      </x:c>
      <x:c r="L42" s="12" t="n">
        <x:v>2.38</x:v>
      </x:c>
      <x:c r="M42" s="12" t="n">
        <x:v>3</x:v>
      </x:c>
      <x:c r="N42" s="12" t="str">
        <x:v>public form/contact route</x:v>
      </x:c>
      <x:c r="O42" s="12" t="str">
        <x:v>https://www.meetup.com/develop-denver/</x:v>
      </x:c>
    </x:row>
    <x:row r="43">
      <x:c r="A43" s="12" t="n">
        <x:v>39</x:v>
      </x:c>
      <x:c r="B43" s="15" t="n">
        <x:v>2.048</x:v>
      </x:c>
      <x:c r="C43" s="12" t="str">
        <x:v>conference/event</x:v>
      </x:c>
      <x:c r="D43" s="12" t="str">
        <x:v>AgenticCon</x:v>
      </x:c>
      <x:c r="E43" s="12" t="str">
        <x:v>San Francisco, USA</x:v>
      </x:c>
      <x:c r="F43" s="18" t="n">
        <x:v>46443.5</x:v>
      </x:c>
      <x:c r="G43" s="18" t="n">
        <x:v>46299.5</x:v>
      </x:c>
      <x:c r="H43" s="12" t="str">
        <x:v>Three Search Methods in a Fundable Trenchcoat</x:v>
      </x:c>
      <x:c r="I43" s="12" t="n">
        <x:v>1</x:v>
      </x:c>
      <x:c r="J43" s="12" t="n">
        <x:v>2</x:v>
      </x:c>
      <x:c r="K43" s="12" t="n">
        <x:v>2</x:v>
      </x:c>
      <x:c r="L43" s="12" t="n">
        <x:v>2.19</x:v>
      </x:c>
      <x:c r="M43" s="12" t="n">
        <x:v>2</x:v>
      </x:c>
      <x:c r="N43" s="12" t="str">
        <x:v>open</x:v>
      </x:c>
      <x:c r="O43" s="12" t="str">
        <x:v>https://agenticcon.com/cfp</x:v>
      </x:c>
    </x:row>
    <x:row r="44">
      <x:c r="A44" s="13" t="n">
        <x:v>40</x:v>
      </x:c>
      <x:c r="B44" s="16" t="n">
        <x:v>2.06</x:v>
      </x:c>
      <x:c r="C44" s="13" t="str">
        <x:v>conference/event</x:v>
      </x:c>
      <x:c r="D44" s="13" t="str">
        <x:v>Sparking Success Faculty Development Conference</x:v>
      </x:c>
      <x:c r="E44" s="13" t="str">
        <x:v>New Orleans, United States</x:v>
      </x:c>
      <x:c r="F44" s="19" t="n">
        <x:v>46393.5</x:v>
      </x:c>
      <x:c r="G44" s="19" t="n">
        <x:v>46315.5</x:v>
      </x:c>
      <x:c r="H44" s="13" t="str">
        <x:v>Outsmart Your Lying, Cheating Students</x:v>
      </x:c>
      <x:c r="I44" s="13" t="n">
        <x:v>1</x:v>
      </x:c>
      <x:c r="J44" s="13" t="n">
        <x:v>2</x:v>
      </x:c>
      <x:c r="K44" s="13" t="n">
        <x:v>2</x:v>
      </x:c>
      <x:c r="L44" s="13" t="n">
        <x:v>2.24</x:v>
      </x:c>
      <x:c r="M44" s="13" t="n">
        <x:v>2</x:v>
      </x:c>
      <x:c r="N44" s="13" t="str">
        <x:v>open</x:v>
      </x:c>
      <x:c r="O44" s="13" t="str">
        <x:v>https://celt.tulane.edu/sparking-success</x:v>
      </x:c>
    </x:row>
  </x:sheetData>
  <x:conditionalFormatting sqref="B5:B4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I5:J44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K5:K4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7496edc0ddd4e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90" hidden="0" customWidth="1"/>
  </x:cols>
  <x:sheetData>
    <x:row r="1">
      <x:c r="A1" s="1" t="str">
        <x:v>Composite scoring</x:v>
      </x:c>
    </x:row>
    <x:row r="2">
      <x:c r="A2" s="4" t="str">
        <x:v>Component</x:v>
      </x:c>
      <x:c r="B2" s="4" t="str">
        <x:v>Weight</x:v>
      </x:c>
      <x:c r="C2" s="4" t="str">
        <x:v>Direction</x:v>
      </x:c>
      <x:c r="D2" s="4" t="str">
        <x:v>Definition</x:v>
      </x:c>
    </x:row>
    <x:row r="3">
      <x:c r="A3" s="22" t="str">
        <x:v>Location</x:v>
      </x:c>
      <x:c r="B3" s="23" t="n">
        <x:v>0.3</x:v>
      </x:c>
      <x:c r="C3" s="22" t="str">
        <x:v>Lower is better</x:v>
      </x:c>
      <x:c r="D3" s="24" t="str">
        <x:v>1 preferred city/remote; 2 nearby metro; 3 other domestic; 4 Canada/Mexico or overseas after 2027-03-05; 5 overseas before that window.</x:v>
      </x:c>
    </x:row>
    <x:row r="4">
      <x:c r="A4" s="22" t="str">
        <x:v>Application ease</x:v>
      </x:c>
      <x:c r="B4" s="23" t="n">
        <x:v>0.2</x:v>
      </x:c>
      <x:c r="C4" s="22" t="str">
        <x:v>Lower is better</x:v>
      </x:c>
      <x:c r="D4" s="24" t="str">
        <x:v>1 lightweight public route; 5 hard credentials, recordings, publication, or firsthand evidence.</x:v>
      </x:c>
    </x:row>
    <x:row r="5">
      <x:c r="A5" s="22" t="str">
        <x:v>Evidence-adjusted fit</x:v>
      </x:c>
      <x:c r="B5" s="23" t="n">
        <x:v>0.25</x:v>
      </x:c>
      <x:c r="C5" s="22" t="str">
        <x:v>Lower is better</x:v>
      </x:c>
      <x:c r="D5" s="24" t="str">
        <x:v>Known-points score multiplied by evidence coverage, then converted to a 1-5 penalty.</x:v>
      </x:c>
    </x:row>
    <x:row r="6">
      <x:c r="A6" s="22" t="str">
        <x:v>Popularity</x:v>
      </x:c>
      <x:c r="B6" s="23" t="n">
        <x:v>0.15</x:v>
      </x:c>
      <x:c r="C6" s="22" t="str">
        <x:v>Higher is better</x:v>
      </x:c>
      <x:c r="D6" s="24" t="str">
        <x:v>5 strongest observed reach; 1 little public evidence. Composite uses 6 minus popularity.</x:v>
      </x:c>
    </x:row>
    <x:row r="7">
      <x:c r="A7" s="22" t="str">
        <x:v>Timing/actionability</x:v>
      </x:c>
      <x:c r="B7" s="23" t="n">
        <x:v>0.1</x:v>
      </x:c>
      <x:c r="C7" s="22" t="str">
        <x:v>Lower is better</x:v>
      </x:c>
      <x:c r="D7" s="24" t="str">
        <x:v>1 urgent confirmed deadline; 5 closed/unavailable. Community event dates do not count as submission deadlines.</x:v>
      </x:c>
    </x:row>
    <x:row r="8">
      <x:c r="A8" s="22"/>
      <x:c r="B8" s="22"/>
      <x:c r="C8" s="22"/>
      <x:c r="D8" s="22"/>
    </x:row>
    <x:row r="9">
      <x:c r="A9" s="4" t="str">
        <x:v>Check</x:v>
      </x:c>
      <x:c r="B9" s="4" t="str">
        <x:v>Value</x:v>
      </x:c>
      <x:c r="C9" s="4" t="str">
        <x:v>Expected</x:v>
      </x:c>
      <x:c r="D9" s="22"/>
    </x:row>
    <x:row r="10">
      <x:c r="A10" s="22" t="str">
        <x:v>Weights total</x:v>
      </x:c>
      <x:c r="B10" s="23" t="n">
        <x:f>SUM(B3:B7)</x:f>
        <x:v>1</x:v>
      </x:c>
      <x:c r="C10" s="23" t="n">
        <x:v>1</x:v>
      </x:c>
      <x:c r="D1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18" hidden="0" customWidth="1"/>
    <x:col min="4" max="4" width="28" hidden="0" customWidth="1"/>
    <x:col min="5" max="5" width="28" hidden="0" customWidth="1"/>
    <x:col min="6" max="6" width="25" hidden="0" customWidth="1"/>
    <x:col min="7" max="7" width="14" hidden="0" customWidth="1"/>
    <x:col min="8" max="8" width="13" hidden="0" customWidth="1"/>
    <x:col min="9" max="9" width="18" hidden="0" customWidth="1"/>
    <x:col min="10" max="10" width="13" hidden="0" customWidth="1"/>
    <x:col min="11" max="11" width="34" hidden="0" customWidth="1"/>
    <x:col min="12" max="12" width="20" hidden="0" customWidth="1"/>
    <x:col min="13" max="13" width="10" hidden="0" customWidth="1"/>
    <x:col min="14" max="14" width="8" hidden="0" customWidth="1"/>
    <x:col min="15" max="15" width="10" hidden="0" customWidth="1"/>
    <x:col min="16" max="16" width="10" hidden="0" customWidth="1"/>
    <x:col min="17" max="17" width="9" hidden="0" customWidth="1"/>
    <x:col min="18" max="18" width="30" hidden="0" customWidth="1"/>
    <x:col min="19" max="19" width="34" hidden="0" customWidth="1"/>
    <x:col min="20" max="20" width="36" hidden="0" customWidth="1"/>
    <x:col min="21" max="21" width="42" hidden="0" customWidth="1"/>
    <x:col min="22" max="22" width="42" hidden="0" customWidth="1"/>
    <x:col min="23" max="23" width="42" hidden="0" customWidth="1"/>
    <x:col min="24" max="24" width="48" hidden="0" customWidth="1"/>
    <x:col min="25" max="25" width="44" hidden="0" customWidth="1"/>
  </x:cols>
  <x:sheetData>
    <x:row r="1">
      <x:c r="A1" s="1" t="str">
        <x:v>All ranked opportunities</x:v>
      </x:c>
    </x:row>
    <x:row r="2">
      <x:c r="A2" s="2" t="str">
        <x:v>Composite is formula-driven from the five score columns and the weights on the Scoring tab.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4" ht="25.5" customHeight="1">
      <x:c r="A4" s="7" t="str">
        <x:v>Rank</x:v>
      </x:c>
      <x:c r="B4" s="7" t="str">
        <x:v>Composite</x:v>
      </x:c>
      <x:c r="C4" s="7" t="str">
        <x:v>Type</x:v>
      </x:c>
      <x:c r="D4" s="7" t="str">
        <x:v>Opportunity</x:v>
      </x:c>
      <x:c r="E4" s="7" t="str">
        <x:v>Edition or route</x:v>
      </x:c>
      <x:c r="F4" s="7" t="str">
        <x:v>Location</x:v>
      </x:c>
      <x:c r="G4" s="7" t="str">
        <x:v>Mode</x:v>
      </x:c>
      <x:c r="H4" s="7" t="str">
        <x:v>Start</x:v>
      </x:c>
      <x:c r="I4" s="7" t="str">
        <x:v>Status</x:v>
      </x:c>
      <x:c r="J4" s="7" t="str">
        <x:v>Deadline</x:v>
      </x:c>
      <x:c r="K4" s="7" t="str">
        <x:v>Primary talk</x:v>
      </x:c>
      <x:c r="L4" s="7" t="str">
        <x:v>Backup talk</x:v>
      </x:c>
      <x:c r="M4" s="7" t="str">
        <x:v>Location score</x:v>
      </x:c>
      <x:c r="N4" s="7" t="str">
        <x:v>Ease</x:v>
      </x:c>
      <x:c r="O4" s="7" t="str">
        <x:v>Fit penalty</x:v>
      </x:c>
      <x:c r="P4" s="7" t="str">
        <x:v>Popularity</x:v>
      </x:c>
      <x:c r="Q4" s="7" t="str">
        <x:v>Timing</x:v>
      </x:c>
      <x:c r="R4" s="7" t="str">
        <x:v>Location basis</x:v>
      </x:c>
      <x:c r="S4" s="7" t="str">
        <x:v>Ease basis</x:v>
      </x:c>
      <x:c r="T4" s="7" t="str">
        <x:v>Popularity basis</x:v>
      </x:c>
      <x:c r="U4" s="7" t="str">
        <x:v>Topic fit</x:v>
      </x:c>
      <x:c r="V4" s="7" t="str">
        <x:v>Application route</x:v>
      </x:c>
      <x:c r="W4" s="7" t="str">
        <x:v>Next action</x:v>
      </x:c>
      <x:c r="X4" s="7" t="str">
        <x:v>Constraints / unknowns</x:v>
      </x:c>
      <x:c r="Y4" s="7" t="str">
        <x:v>Source</x:v>
      </x:c>
    </x:row>
    <x:row r="5" ht="33" customHeight="1">
      <x:c r="A5" s="11" t="n">
        <x:v>1</x:v>
      </x:c>
      <x:c r="B5" s="14" t="n">
        <x:f>ROUND(M5*Scoring!$B$3+N5*Scoring!$B$4+O5*Scoring!$B$5+(6-P5)*Scoring!$B$6+Q5*Scoring!$B$7,3)</x:f>
        <x:v>1.545</x:v>
      </x:c>
      <x:c r="C5" s="11" t="str">
        <x:v>community/meetup</x:v>
      </x:c>
      <x:c r="D5" s="11" t="str">
        <x:v>San Diego Python</x:v>
      </x:c>
      <x:c r="E5" s="11" t="str">
        <x:v>Preferred US cities</x:v>
      </x:c>
      <x:c r="F5" s="11" t="str">
        <x:v>San Diego in person; remote speakers accepted</x:v>
      </x:c>
      <x:c r="G5" s="11" t="str">
        <x:v>remote/online</x:v>
      </x:c>
      <x:c r="H5" s="17"/>
      <x:c r="I5" s="11" t="str">
        <x:v>public form/contact route</x:v>
      </x:c>
      <x:c r="J5" s="17"/>
      <x:c r="K5" s="11" t="str">
        <x:v>The Pager Cried Wolf</x:v>
      </x:c>
      <x:c r="L5" s="11" t="str"/>
      <x:c r="M5" s="11" t="n">
        <x:v>1</x:v>
      </x:c>
      <x:c r="N5" s="11" t="n">
        <x:v>1</x:v>
      </x:c>
      <x:c r="O5" s="11" t="n">
        <x:v>2.38</x:v>
      </x:c>
      <x:c r="P5" s="11" t="n">
        <x:v>5</x:v>
      </x:c>
      <x:c r="Q5" s="11" t="n">
        <x:v>3</x:v>
      </x:c>
      <x:c r="R5" s="11" t="str">
        <x:v>Remote or online participation is available.</x:v>
      </x:c>
      <x:c r="S5" s="11" t="str">
        <x:v>Researcher-rated route and format effort; 1 is easiest and 5 is hardest.</x:v>
      </x:c>
      <x:c r="T5" s="11" t="str">
        <x:v>Public organizer/platform signal of at least 5,573 members, registrations, attendees, or reach.</x:v>
      </x:c>
      <x:c r="U5" s="11" t="str">
        <x:v>Failure, Adaptive, Retrieval, Benchmarks, Parallelization, Product, and Free tier with a Python or engineering example</x:v>
      </x:c>
      <x:c r="V5" s="11" t="str">
        <x:v>Direct public Present at our meetup form. The normal ask is a five-to-seven-minute talk; longer talks are possible with approval. Official site</x:v>
      </x:c>
      <x:c r="W5" s="11" t="str">
        <x:v>Review the public route and decide whether to prepare the indicated talk or demo format.</x:v>
      </x:c>
      <x:c r="X5" s="11" t="str">
        <x:v>Next confirmed speaker agenda, maximum approved duration, selection timing, and any help for travel presenters.</x:v>
      </x:c>
      <x:c r="Y5" s="11" t="str">
        <x:v>https://www.sandiegopython.org/</x:v>
      </x:c>
    </x:row>
    <x:row r="6" ht="33" customHeight="1">
      <x:c r="A6" s="12" t="n">
        <x:v>2</x:v>
      </x:c>
      <x:c r="B6" s="15" t="n">
        <x:f>ROUND(M6*Scoring!$B$3+N6*Scoring!$B$4+O6*Scoring!$B$5+(6-P6)*Scoring!$B$6+Q6*Scoring!$B$7,3)</x:f>
        <x:v>1.57</x:v>
      </x:c>
      <x:c r="C6" s="12" t="str">
        <x:v>conference/event</x:v>
      </x:c>
      <x:c r="D6" s="12" t="str">
        <x:v>ISTELive</x:v>
      </x:c>
      <x:c r="E6" s="12" t="str">
        <x:v>ISTELive 27</x:v>
      </x:c>
      <x:c r="F6" s="12" t="str">
        <x:v>Boston, USA</x:v>
      </x:c>
      <x:c r="G6" s="12" t="str">
        <x:v>hybrid</x:v>
      </x:c>
      <x:c r="H6" s="18" t="n">
        <x:v>46565.5</x:v>
      </x:c>
      <x:c r="I6" s="12" t="str">
        <x:v>open</x:v>
      </x:c>
      <x:c r="J6" s="18" t="n">
        <x:v>46295.5</x:v>
      </x:c>
      <x:c r="K6" s="12" t="str">
        <x:v>A Skeptic's Guide to Surviving AI in Education</x:v>
      </x:c>
      <x:c r="L6" s="12" t="str"/>
      <x:c r="M6" s="12" t="n">
        <x:v>1</x:v>
      </x:c>
      <x:c r="N6" s="12" t="n">
        <x:v>2</x:v>
      </x:c>
      <x:c r="O6" s="12" t="n">
        <x:v>2.08</x:v>
      </x:c>
      <x:c r="P6" s="12" t="n">
        <x:v>5</x:v>
      </x:c>
      <x:c r="Q6" s="12" t="n">
        <x:v>2</x:v>
      </x:c>
      <x:c r="R6" s="12" t="str">
        <x:v>Exact preferred city.</x:v>
      </x:c>
      <x:c r="S6" s="12" t="str">
        <x:v>Standard public proposal or organizer route with no hard requirement found.</x:v>
      </x:c>
      <x:c r="T6" s="12" t="str">
        <x:v>Established flagship or large organizer-backed event; exact audience count may be an organizer claim or unstated.</x:v>
      </x:c>
      <x:c r="U6" s="12" t="str">
        <x:v>Teaching/learning and assessment are explicit topics; 2026 program proves appetite for authentic assessment, productive struggle, and distinguishing learning from AI-assisted production</x:v>
      </x:c>
      <x:c r="V6" s="12" t="str">
        <x:v>Up to five proposals; title, description, outcomes, audience, resources, presenter profile; adult presenters register</x:v>
      </x:c>
      <x:c r="W6" s="12" t="str">
        <x:v>Retarget examples to teachers/district leaders and submit by 2026-09-30; avoid duplicating heavily saturated 'AI-resistant assessment' framing</x:v>
      </x:c>
      <x:c r="X6" s="12" t="str">
        <x:v>Current package is higher-ed weighted and needs K-12 examples; adult presenters must register; economics unknown | Registration price, travel support, rights, accessibility details, and Dan's eligibility/affiliation remain unknown</x:v>
      </x:c>
      <x:c r="Y6" s="12" t="str">
        <x:v>https://conference.iste.org/2027/presenters/submit_proposal.php</x:v>
      </x:c>
    </x:row>
    <x:row r="7" ht="33" customHeight="1">
      <x:c r="A7" s="12" t="n">
        <x:v>3</x:v>
      </x:c>
      <x:c r="B7" s="15" t="n">
        <x:f>ROUND(M7*Scoring!$B$3+N7*Scoring!$B$4+O7*Scoring!$B$5+(6-P7)*Scoring!$B$6+Q7*Scoring!$B$7,3)</x:f>
        <x:v>1.63</x:v>
      </x:c>
      <x:c r="C7" s="12" t="str">
        <x:v>community/meetup</x:v>
      </x:c>
      <x:c r="D7" s="12" t="str">
        <x:v>Rocky Mountain AI Interest Group (RMAIIG)</x:v>
      </x:c>
      <x:c r="E7" s="12" t="str">
        <x:v>Denver/Colorado</x:v>
      </x:c>
      <x:c r="F7" s="12" t="str">
        <x:v>Boulder, Broomfield, Denver, and Fort Collins; in person</x:v>
      </x:c>
      <x:c r="G7" s="12" t="str">
        <x:v>in-person</x:v>
      </x:c>
      <x:c r="H7" s="18" t="n">
        <x:v>46282.5</x:v>
      </x:c>
      <x:c r="I7" s="12" t="str">
        <x:v>public form/contact route</x:v>
      </x:c>
      <x:c r="J7" s="18"/>
      <x:c r="K7" s="12" t="str">
        <x:v>A Skeptic's Guide to Surviving AI in Education</x:v>
      </x:c>
      <x:c r="L7" s="12" t="str"/>
      <x:c r="M7" s="12" t="n">
        <x:v>1</x:v>
      </x:c>
      <x:c r="N7" s="12" t="n">
        <x:v>1</x:v>
      </x:c>
      <x:c r="O7" s="12" t="n">
        <x:v>2.12</x:v>
      </x:c>
      <x:c r="P7" s="12" t="n">
        <x:v>4</x:v>
      </x:c>
      <x:c r="Q7" s="12" t="n">
        <x:v>3</x:v>
      </x:c>
      <x:c r="R7" s="12" t="str">
        <x:v>Exact preferred city.</x:v>
      </x:c>
      <x:c r="S7" s="12" t="str">
        <x:v>Researcher-rated route and format effort; 1 is easiest and 5 is hardest.</x:v>
      </x:c>
      <x:c r="T7" s="12" t="str">
        <x:v>Public organizer/platform signal of at least 4,515.</x:v>
      </x:c>
      <x:c r="U7" s="12" t="str">
        <x:v>All ten; particularly Education, Adaptive, Product, Retrieval, Benchmarks, and Judgment. Main events favor broad, practical explanations.</x:v>
      </x:c>
      <x:c r="V7" s="12" t="str">
        <x:v>The group page exposes Message organizers; its September event also has a direct community demo form. Group and organizer route</x:v>
      </x:c>
      <x:c r="W7" s="12" t="str">
        <x:v>Review the public route and decide whether to prepare the indicated talk or demo format.</x:v>
      </x:c>
      <x:c r="X7" s="12" t="str"/>
      <x:c r="Y7" s="12" t="str">
        <x:v>https://docs.google.com/forms/d/e/1FAIpQLSfN6b3LnMY6p6ppoCWQRxPisIXOZxNIUELyiobzZ3J8BHj5fw/viewform</x:v>
      </x:c>
    </x:row>
    <x:row r="8" ht="33" customHeight="1">
      <x:c r="A8" s="12" t="n">
        <x:v>4</x:v>
      </x:c>
      <x:c r="B8" s="15" t="n">
        <x:f>ROUND(M8*Scoring!$B$3+N8*Scoring!$B$4+O8*Scoring!$B$5+(6-P8)*Scoring!$B$6+Q8*Scoring!$B$7,3)</x:f>
        <x:v>1.658</x:v>
      </x:c>
      <x:c r="C8" s="12" t="str">
        <x:v>conference/event</x:v>
      </x:c>
      <x:c r="D8" s="12" t="str">
        <x:v>SREcon Americas</x:v>
      </x:c>
      <x:c r="E8" s="12" t="str">
        <x:v>SREcon27 Americas</x:v>
      </x:c>
      <x:c r="F8" s="12" t="str">
        <x:v>Seattle, United States</x:v>
      </x:c>
      <x:c r="G8" s="12" t="str">
        <x:v>in-person</x:v>
      </x:c>
      <x:c r="H8" s="18" t="n">
        <x:v>46489.5</x:v>
      </x:c>
      <x:c r="I8" s="12" t="str">
        <x:v>open</x:v>
      </x:c>
      <x:c r="J8" s="18" t="n">
        <x:v>46345.5</x:v>
      </x:c>
      <x:c r="K8" s="12" t="str">
        <x:v>Three Search Methods in a Fundable Trenchcoat</x:v>
      </x:c>
      <x:c r="L8" s="12" t="str">
        <x:v>benchmarks</x:v>
      </x:c>
      <x:c r="M8" s="12" t="n">
        <x:v>1</x:v>
      </x:c>
      <x:c r="N8" s="12" t="n">
        <x:v>2</x:v>
      </x:c>
      <x:c r="O8" s="12" t="n">
        <x:v>1.43</x:v>
      </x:c>
      <x:c r="P8" s="12" t="n">
        <x:v>4</x:v>
      </x:c>
      <x:c r="Q8" s="12" t="n">
        <x:v>3</x:v>
      </x:c>
      <x:c r="R8" s="12" t="str">
        <x:v>Exact preferred city.</x:v>
      </x:c>
      <x:c r="S8" s="12" t="str">
        <x:v>Standard public proposal or organizer route with no hard requirement found.</x:v>
      </x:c>
      <x:c r="T8" s="12" t="str">
        <x:v>Established recurring conference or community series with visible program history.</x:v>
      </x:c>
      <x:c r="U8" s="12" t="str">
        <x:v>2027 theme asks what remains foundational as AI becomes a teammate; prior program includes exact terminology-bridge and agent-operations talks.</x:v>
      </x:c>
      <x:c r="V8" s="12" t="str">
        <x:v>Proposal and speaker details; two-phase review; human-written attestation.</x:v>
      </x:c>
      <x:c r="W8" s="12" t="str">
        <x:v>Use the 35-minute slot and reframe retrieval/context slides around production diagnosis and control.</x:v>
      </x:c>
      <x:c r="X8" s="12" t="str">
        <x:v>FINALIST; must attest content is primarily human-written; needs a stronger reliability through-line; travel/economics unknown | Format, speaker economics, travel/hotel, accessibility, and 2027 recording terms unknown. | Speaker economics, rights, accessibility, format, and numeric UTC offset unknown | Travel support, speaker costs, recording rights, accessibility details, and public attendance figure not found. Dan's eligibility facts beyond supplied material are unknown. | Speaker registration, travel/honorarium, rights, accessibility, and sufficient SRE connection | MERGE CONFLICTS/VARIANTS — date_status: exact | confirmed; country: United States | USA; eligibility: Open internationally; new speakers encouraged. Speaker must submit own human-written proposal; content cannot be entirely or substantively generated by AI. | Public participation call; content must be primarily human-written and attested | Human-authored submission attestation; practitioner reliability content | International and new speakers welcome; presenter must submit own proposal and attest content is primarily human-written; formats_and_durations: 15 minutes plus 5 Q&amp;A; 35 minutes plus 10 Q&amp;A | Talk formats/durations not visible in retrieved excerpt | Format/duration not captured | 15+5 Q&amp;A; 35+10 Q&amp;A; lightning CFP later; submission_requirements: Proposal and speaker details; two-phase review; human-written attestation. | Proposal plus required human-authorship attestation; practical technical depth expected | Proposal describing concrete operational experience and takeaways | Two-phase submission; technical guidance and applied experience favored; recording_rights: USENIX commonly posts slides/video, confirmed for 2026 archive; 2027 rights terms not located | unknown; verified_at: 2026-09-04T23:20:00-06:00 | 2026-09-04T23:30:00-06:00 | 2026-09-04T23:00:00-06:00 | 2026-09-04T12:00:00-06:00</x:v>
      </x:c>
      <x:c r="Y8" s="12" t="str">
        <x:v>https://www.usenix.org/conference/srecon27americas/call-for-participation</x:v>
      </x:c>
    </x:row>
    <x:row r="9" ht="33" customHeight="1">
      <x:c r="A9" s="12" t="n">
        <x:v>5</x:v>
      </x:c>
      <x:c r="B9" s="15" t="n">
        <x:f>ROUND(M9*Scoring!$B$3+N9*Scoring!$B$4+O9*Scoring!$B$5+(6-P9)*Scoring!$B$6+Q9*Scoring!$B$7,3)</x:f>
        <x:v>1.695</x:v>
      </x:c>
      <x:c r="C9" s="12" t="str">
        <x:v>community/meetup</x:v>
      </x:c>
      <x:c r="D9" s="12" t="str">
        <x:v>ACM Austin: Enterprise AI &amp; Engineering</x:v>
      </x:c>
      <x:c r="E9" s="12" t="str">
        <x:v>Preferred US cities</x:v>
      </x:c>
      <x:c r="F9" s="12" t="str">
        <x:v>Austin; in person with some online programming</x:v>
      </x:c>
      <x:c r="G9" s="12" t="str">
        <x:v>remote/online</x:v>
      </x:c>
      <x:c r="H9" s="18" t="n">
        <x:v>46282.5</x:v>
      </x:c>
      <x:c r="I9" s="12" t="str">
        <x:v>public form/contact route</x:v>
      </x:c>
      <x:c r="J9" s="18"/>
      <x:c r="K9" s="12" t="str">
        <x:v>Break the Mirror on Purpose</x:v>
      </x:c>
      <x:c r="L9" s="12" t="str"/>
      <x:c r="M9" s="12" t="n">
        <x:v>1</x:v>
      </x:c>
      <x:c r="N9" s="12" t="n">
        <x:v>1</x:v>
      </x:c>
      <x:c r="O9" s="12" t="n">
        <x:v>2.38</x:v>
      </x:c>
      <x:c r="P9" s="12" t="n">
        <x:v>4</x:v>
      </x:c>
      <x:c r="Q9" s="12" t="n">
        <x:v>3</x:v>
      </x:c>
      <x:c r="R9" s="12" t="str">
        <x:v>Remote or online participation is available.</x:v>
      </x:c>
      <x:c r="S9" s="12" t="str">
        <x:v>Researcher-rated route and format effort; 1 is easiest and 5 is hardest.</x:v>
      </x:c>
      <x:c r="T9" s="12" t="str">
        <x:v>Public organizer/platform signal of at least 1,771.</x:v>
      </x:c>
      <x:c r="U9" s="12" t="str">
        <x:v>All eight engineering/product talks; Education also fits with a computing-education or integrity angle</x:v>
      </x:c>
      <x:c r="V9" s="12" t="str">
        <x:v>Direct rolling Sessionize route: submit a talk. The group openly asks for real-world talks, demos, or research. Meetup</x:v>
      </x:c>
      <x:c r="W9" s="12" t="str">
        <x:v>Review the public route and decide whether to prepare the indicated talk or demo format.</x:v>
      </x:c>
      <x:c r="X9" s="12" t="str">
        <x:v>Whether the October agenda still has space, selection timing, recording, and travel support.</x:v>
      </x:c>
      <x:c r="Y9" s="12" t="str">
        <x:v>https://sessionize.com/austin-acm-meetup/</x:v>
      </x:c>
    </x:row>
    <x:row r="10" ht="33" customHeight="1">
      <x:c r="A10" s="12" t="n">
        <x:v>6</x:v>
      </x:c>
      <x:c r="B10" s="15" t="n">
        <x:f>ROUND(M10*Scoring!$B$3+N10*Scoring!$B$4+O10*Scoring!$B$5+(6-P10)*Scoring!$B$6+Q10*Scoring!$B$7,3)</x:f>
        <x:v>1.695</x:v>
      </x:c>
      <x:c r="C10" s="12" t="str">
        <x:v>community/meetup</x:v>
      </x:c>
      <x:c r="D10" s="12" t="str">
        <x:v>Denver DevOps Monthly Meetup</x:v>
      </x:c>
      <x:c r="E10" s="12" t="str">
        <x:v>Denver/Colorado</x:v>
      </x:c>
      <x:c r="F10" s="12" t="str">
        <x:v>Code Talent, Denver; monthly, in person</x:v>
      </x:c>
      <x:c r="G10" s="12" t="str">
        <x:v>in-person</x:v>
      </x:c>
      <x:c r="H10" s="18" t="n">
        <x:v>46310.5</x:v>
      </x:c>
      <x:c r="I10" s="12" t="str">
        <x:v>public form/contact route</x:v>
      </x:c>
      <x:c r="J10" s="18"/>
      <x:c r="K10" s="12" t="str">
        <x:v>The Pager Cried Wolf</x:v>
      </x:c>
      <x:c r="L10" s="12" t="str"/>
      <x:c r="M10" s="12" t="n">
        <x:v>1</x:v>
      </x:c>
      <x:c r="N10" s="12" t="n">
        <x:v>1</x:v>
      </x:c>
      <x:c r="O10" s="12" t="n">
        <x:v>2.38</x:v>
      </x:c>
      <x:c r="P10" s="12" t="n">
        <x:v>4</x:v>
      </x:c>
      <x:c r="Q10" s="12" t="n">
        <x:v>3</x:v>
      </x:c>
      <x:c r="R10" s="12" t="str">
        <x:v>Exact preferred city.</x:v>
      </x:c>
      <x:c r="S10" s="12" t="str">
        <x:v>Researcher-rated route and format effort; 1 is easiest and 5 is hardest.</x:v>
      </x:c>
      <x:c r="T10" s="12" t="str">
        <x:v>Public organizer/platform signal of at least 2,245.</x:v>
      </x:c>
      <x:c r="U10" s="12" t="str">
        <x:v>Failure, Adaptive, Benchmarks, Parallelization, Product, and Judgment</x:v>
      </x:c>
      <x:c r="V10" s="12" t="str">
        <x:v>Join its public Slack or message organizers through Meetup; monthly meetings currently use open spaces, so a discussion can be easier than a formal talk</x:v>
      </x:c>
      <x:c r="W10" s="12" t="str">
        <x:v>Review the public route and decide whether to prepare the indicated talk or demo format.</x:v>
      </x:c>
      <x:c r="X10" s="12" t="str"/>
      <x:c r="Y10" s="12" t="str">
        <x:v>https://www.meetup.com/denverdevops/</x:v>
      </x:c>
    </x:row>
    <x:row r="11" ht="33" customHeight="1">
      <x:c r="A11" s="12" t="n">
        <x:v>7</x:v>
      </x:c>
      <x:c r="B11" s="15" t="n">
        <x:f>ROUND(M11*Scoring!$B$3+N11*Scoring!$B$4+O11*Scoring!$B$5+(6-P11)*Scoring!$B$6+Q11*Scoring!$B$7,3)</x:f>
        <x:v>1.695</x:v>
      </x:c>
      <x:c r="C11" s="12" t="str">
        <x:v>community/meetup</x:v>
      </x:c>
      <x:c r="D11" s="12" t="str">
        <x:v>FrontEndParty</x:v>
      </x:c>
      <x:c r="E11" s="12" t="str">
        <x:v>Preferred US cities</x:v>
      </x:c>
      <x:c r="F11" s="12" t="str">
        <x:v>New Orleans; monthly in person</x:v>
      </x:c>
      <x:c r="G11" s="12" t="str">
        <x:v>in-person</x:v>
      </x:c>
      <x:c r="H11" s="18" t="n">
        <x:v>46273.5</x:v>
      </x:c>
      <x:c r="I11" s="12" t="str">
        <x:v>public form/contact route</x:v>
      </x:c>
      <x:c r="J11" s="18"/>
      <x:c r="K11" s="12" t="str">
        <x:v>Break the Mirror on Purpose</x:v>
      </x:c>
      <x:c r="L11" s="12" t="str"/>
      <x:c r="M11" s="12" t="n">
        <x:v>1</x:v>
      </x:c>
      <x:c r="N11" s="12" t="n">
        <x:v>1</x:v>
      </x:c>
      <x:c r="O11" s="12" t="n">
        <x:v>2.38</x:v>
      </x:c>
      <x:c r="P11" s="12" t="n">
        <x:v>4</x:v>
      </x:c>
      <x:c r="Q11" s="12" t="n">
        <x:v>3</x:v>
      </x:c>
      <x:c r="R11" s="12" t="str">
        <x:v>Exact preferred city.</x:v>
      </x:c>
      <x:c r="S11" s="12" t="str">
        <x:v>Researcher-rated route and format effort; 1 is easiest and 5 is hardest.</x:v>
      </x:c>
      <x:c r="T11" s="12" t="str">
        <x:v>Public organizer/platform signal of at least 1,761.</x:v>
      </x:c>
      <x:c r="U11" s="12" t="str">
        <x:v>Product, Judgment, Failure, Free tier, Adaptive, and Parallelization; the engineering talks need a web/developer-workflow angle</x:v>
      </x:c>
      <x:c r="V11" s="12" t="str">
        <x:v>The group has an explicit Apply to present route. Current programming uses one five-to-fifteen-minute feature speaker plus show-and-tell and collaborative debugging. Meetup</x:v>
      </x:c>
      <x:c r="W11" s="12" t="str">
        <x:v>Review the public route and decide whether to prepare the indicated talk or demo format.</x:v>
      </x:c>
      <x:c r="X11" s="12" t="str">
        <x:v>The public form target was not independently opened, attendance has recently been small, and travel support is unknown.</x:v>
      </x:c>
      <x:c r="Y11" s="12" t="str">
        <x:v>https://www.meetup.com/frontendparty/</x:v>
      </x:c>
    </x:row>
    <x:row r="12" ht="33" customHeight="1">
      <x:c r="A12" s="12" t="n">
        <x:v>8</x:v>
      </x:c>
      <x:c r="B12" s="15" t="n">
        <x:f>ROUND(M12*Scoring!$B$3+N12*Scoring!$B$4+O12*Scoring!$B$5+(6-P12)*Scoring!$B$6+Q12*Scoring!$B$7,3)</x:f>
        <x:v>1.708</x:v>
      </x:c>
      <x:c r="C12" s="12" t="str">
        <x:v>conference/event</x:v>
      </x:c>
      <x:c r="D12" s="12" t="str">
        <x:v>DeveloperWeek</x:v>
      </x:c>
      <x:c r="E12" s="12" t="str">
        <x:v>DeveloperWeek 2027</x:v>
      </x:c>
      <x:c r="F12" s="12" t="str">
        <x:v>Santa Clara, United States</x:v>
      </x:c>
      <x:c r="G12" s="12" t="str">
        <x:v>in-person</x:v>
      </x:c>
      <x:c r="H12" s="18" t="n">
        <x:v>46427.5</x:v>
      </x:c>
      <x:c r="I12" s="12" t="str">
        <x:v>open</x:v>
      </x:c>
      <x:c r="J12" s="18" t="n">
        <x:v>46283.5</x:v>
      </x:c>
      <x:c r="K12" s="12" t="str">
        <x:v>The Pager Cried Wolf</x:v>
      </x:c>
      <x:c r="L12" s="12" t="str">
        <x:v>retrieval</x:v>
      </x:c>
      <x:c r="M12" s="12" t="n">
        <x:v>2</x:v>
      </x:c>
      <x:c r="N12" s="12" t="n">
        <x:v>2</x:v>
      </x:c>
      <x:c r="O12" s="12" t="n">
        <x:v>1.83</x:v>
      </x:c>
      <x:c r="P12" s="12" t="n">
        <x:v>5</x:v>
      </x:c>
      <x:c r="Q12" s="12" t="n">
        <x:v>1</x:v>
      </x:c>
      <x:c r="R12" s="12" t="str">
        <x:v>Near a preferred city or within the Denver/Front Range area.</x:v>
      </x:c>
      <x:c r="S12" s="12" t="str">
        <x:v>Standard public proposal or organizer route with no hard requirement found.</x:v>
      </x:c>
      <x:c r="T12" s="12" t="str">
        <x:v>Public organizer/platform signal of at least 6,000 members, registrations, attendees, or reach.</x:v>
      </x:c>
      <x:c r="U12" s="12" t="str">
        <x:v>2026 program already featured agent failure modes and human/agent feedback loops; 2027 route is open.</x:v>
      </x:c>
      <x:c r="V12" s="12" t="str">
        <x:v>Speaker application with topic, abstract and profile.</x:v>
      </x:c>
      <x:c r="W12" s="12" t="str">
        <x:v>Confirm slot length immediately and prepare a submission before September 18.</x:v>
      </x:c>
      <x:c r="X12" s="12" t="str">
        <x:v>Final deadline is soon and has no stated time/timezone; format/economics unknown. | Format, economics, rights, accessibility, multiple-submission and exclusivity rules unknown; attendance is organizer projection, not audited actual. | Exact session duration, presenter pass, travel, honorarium, rights, accessibility, and Dan's travel availability | Exact duration, presenter pass, travel, honorarium, rights, accessibility, and travel availability | MERGE CONFLICTS/VARIANTS — country: United States | USA; guidelines_url: https://www.developerweek.com/speakers/apply-to-speak/ | https://www.developerweek.com/tracks/; eligibility: Public call; practitioner and technical proposals across four co-located programs. | All speakers must use the public call; biography and affiliation details otherwise unknown | All speakers must use the public call; formats_and_durations: Duration not stated on extracted CFP page | Exact current session duration not found.; submission_requirements: Speaker application with topic, abstract and profile. | Complete all proposal fields and select one of four conference worlds | Complete all fields and select one of four conference worlds; attendance_value: 3000 onsite and 6000 community members advertised for 2027 | 5,000+ annual participants claimed; 2,500 onsite and 2,500 virtual described on About page | 5,000+ annual participants claimed; verified_at: 2026-09-04T12:00:00-06:00 | 2026-09-04T23:58:00-06:00</x:v>
      </x:c>
      <x:c r="Y12" s="12" t="str">
        <x:v>https://www.developerweek.com/speakers/apply-to-speak/</x:v>
      </x:c>
    </x:row>
    <x:row r="13" ht="33" customHeight="1">
      <x:c r="A13" s="12" t="n">
        <x:v>9</x:v>
      </x:c>
      <x:c r="B13" s="15" t="n">
        <x:f>ROUND(M13*Scoring!$B$3+N13*Scoring!$B$4+O13*Scoring!$B$5+(6-P13)*Scoring!$B$6+Q13*Scoring!$B$7,3)</x:f>
        <x:v>1.71</x:v>
      </x:c>
      <x:c r="C13" s="12" t="str">
        <x:v>conference/event</x:v>
      </x:c>
      <x:c r="D13" s="12" t="str">
        <x:v>ProductWorld</x:v>
      </x:c>
      <x:c r="E13" s="12" t="str">
        <x:v>ProductWorld 2027</x:v>
      </x:c>
      <x:c r="F13" s="12" t="str">
        <x:v>Santa Clara, United States</x:v>
      </x:c>
      <x:c r="G13" s="12" t="str">
        <x:v>in-person</x:v>
      </x:c>
      <x:c r="H13" s="18" t="n">
        <x:v>46427.5</x:v>
      </x:c>
      <x:c r="I13" s="12" t="str">
        <x:v>open</x:v>
      </x:c>
      <x:c r="J13" s="18" t="n">
        <x:v>46283.5</x:v>
      </x:c>
      <x:c r="K13" s="12" t="str">
        <x:v>Break the Mirror on Purpose</x:v>
      </x:c>
      <x:c r="L13" s="12" t="str">
        <x:v>judgment</x:v>
      </x:c>
      <x:c r="M13" s="12" t="n">
        <x:v>2</x:v>
      </x:c>
      <x:c r="N13" s="12" t="n">
        <x:v>2</x:v>
      </x:c>
      <x:c r="O13" s="12" t="n">
        <x:v>1.24</x:v>
      </x:c>
      <x:c r="P13" s="12" t="n">
        <x:v>4</x:v>
      </x:c>
      <x:c r="Q13" s="12" t="n">
        <x:v>1</x:v>
      </x:c>
      <x:c r="R13" s="12" t="str">
        <x:v>Near a preferred city or within the Denver/Front Range area.</x:v>
      </x:c>
      <x:c r="S13" s="12" t="str">
        <x:v>Standard public proposal or organizer route with no hard requirement found.</x:v>
      </x:c>
      <x:c r="T13" s="12" t="str">
        <x:v>Public organizer/platform signal of at least 3,000.</x:v>
      </x:c>
      <x:c r="U13" s="12" t="str">
        <x:v>Exact product/product-engineering audience and near-identical 2026 sessions; open editorial CFP.</x:v>
      </x:c>
      <x:c r="V13" s="12" t="str">
        <x:v>Complete proposal fields and select ProductWorld; live participation required.</x:v>
      </x:c>
      <x:c r="W13" s="12" t="str">
        <x:v>Confirm session length and submit the systems-thinking variant by September 18.</x:v>
      </x:c>
      <x:c r="X13" s="12" t="str">
        <x:v>Duration and travel costs unknown; deadline is close. | Duration, travel/hotel, payment, rights and accessibility unknown.</x:v>
      </x:c>
      <x:c r="Y13" s="12" t="str">
        <x:v>https://sessionize.com/productworld-2027/</x:v>
      </x:c>
    </x:row>
    <x:row r="14" ht="33" customHeight="1">
      <x:c r="A14" s="12" t="n">
        <x:v>10</x:v>
      </x:c>
      <x:c r="B14" s="15" t="n">
        <x:f>ROUND(M14*Scoring!$B$3+N14*Scoring!$B$4+O14*Scoring!$B$5+(6-P14)*Scoring!$B$6+Q14*Scoring!$B$7,3)</x:f>
        <x:v>1.74</x:v>
      </x:c>
      <x:c r="C14" s="12" t="str">
        <x:v>conference/event</x:v>
      </x:c>
      <x:c r="D14" s="12" t="str">
        <x:v>PlatformCon</x:v>
      </x:c>
      <x:c r="E14" s="12" t="str">
        <x:v>PlatformCon Flagship Week 2027</x:v>
      </x:c>
      <x:c r="F14" s="12" t="str">
        <x:v>London; New York; online, UK; USA; online</x:v>
      </x:c>
      <x:c r="G14" s="12" t="str">
        <x:v>hybrid</x:v>
      </x:c>
      <x:c r="H14" s="18" t="n">
        <x:v>46560.5</x:v>
      </x:c>
      <x:c r="I14" s="12" t="str">
        <x:v>announced-not-open</x:v>
      </x:c>
      <x:c r="J14" s="18"/>
      <x:c r="K14" s="12" t="str">
        <x:v>Buy Me a Free Tier</x:v>
      </x:c>
      <x:c r="L14" s="12" t="str"/>
      <x:c r="M14" s="12" t="n">
        <x:v>1</x:v>
      </x:c>
      <x:c r="N14" s="12" t="n">
        <x:v>2</x:v>
      </x:c>
      <x:c r="O14" s="12" t="n">
        <x:v>2.36</x:v>
      </x:c>
      <x:c r="P14" s="12" t="n">
        <x:v>5</x:v>
      </x:c>
      <x:c r="Q14" s="12" t="n">
        <x:v>3</x:v>
      </x:c>
      <x:c r="R14" s="12" t="str">
        <x:v>Exact preferred city.</x:v>
      </x:c>
      <x:c r="S14" s="12" t="str">
        <x:v>Standard public proposal or organizer route with no hard requirement found.</x:v>
      </x:c>
      <x:c r="T14" s="12" t="str">
        <x:v>Public organizer/platform signal of at least 280,000 members, registrations, attendees, or reach.</x:v>
      </x:c>
      <x:c r="U14" s="12" t="str">
        <x:v>Official theme says the age of AI runs on platform engineering; virtual reach and archive reuse are strong.</x:v>
      </x:c>
      <x:c r="V14" s="12" t="str">
        <x:v>unknown</x:v>
      </x:c>
      <x:c r="W14" s="12" t="str">
        <x:v>Monitor the official site for the flagship CFP and prepare a platform-product version with reusable worksheet.</x:v>
      </x:c>
      <x:c r="X14" s="12" t="str">
        <x:v>FINALIST; no public 2027 CFP details found; London/New York/virtual submission topology unknown | Whether one submission covers virtual/London/New York; CFP dates; formats; economics; travel</x:v>
      </x:c>
      <x:c r="Y14" s="12" t="str">
        <x:v>https://platformcon.com/</x:v>
      </x:c>
    </x:row>
    <x:row r="15" ht="33" customHeight="1">
      <x:c r="A15" s="12" t="n">
        <x:v>11</x:v>
      </x:c>
      <x:c r="B15" s="15" t="n">
        <x:f>ROUND(M15*Scoring!$B$3+N15*Scoring!$B$4+O15*Scoring!$B$5+(6-P15)*Scoring!$B$6+Q15*Scoring!$B$7,3)</x:f>
        <x:v>1.745</x:v>
      </x:c>
      <x:c r="C15" s="12" t="str">
        <x:v>community/meetup</x:v>
      </x:c>
      <x:c r="D15" s="12" t="str">
        <x:v>Boston AI Developers Group / AI Camp</x:v>
      </x:c>
      <x:c r="E15" s="12" t="str">
        <x:v>Preferred US cities</x:v>
      </x:c>
      <x:c r="F15" s="12" t="str">
        <x:v>Boston; in person, with some networked online events</x:v>
      </x:c>
      <x:c r="G15" s="12" t="str">
        <x:v>remote/online</x:v>
      </x:c>
      <x:c r="H15" s="18" t="n">
        <x:v>46294.5</x:v>
      </x:c>
      <x:c r="I15" s="12" t="str">
        <x:v>public form/contact route</x:v>
      </x:c>
      <x:c r="J15" s="18"/>
      <x:c r="K15" s="12" t="str">
        <x:v>Conjure Exactly Enough</x:v>
      </x:c>
      <x:c r="L15" s="12" t="str"/>
      <x:c r="M15" s="12" t="n">
        <x:v>1</x:v>
      </x:c>
      <x:c r="N15" s="12" t="n">
        <x:v>2</x:v>
      </x:c>
      <x:c r="O15" s="12" t="n">
        <x:v>2.38</x:v>
      </x:c>
      <x:c r="P15" s="12" t="n">
        <x:v>5</x:v>
      </x:c>
      <x:c r="Q15" s="12" t="n">
        <x:v>3</x:v>
      </x:c>
      <x:c r="R15" s="12" t="str">
        <x:v>Remote or online participation is available.</x:v>
      </x:c>
      <x:c r="S15" s="12" t="str">
        <x:v>Researcher-rated route and format effort; 1 is easiest and 5 is hardest.</x:v>
      </x:c>
      <x:c r="T15" s="12" t="str">
        <x:v>Public organizer/platform signal of at least 6,265 members, registrations, attendees, or reach.</x:v>
      </x:c>
      <x:c r="U15" s="12" t="str">
        <x:v>Adaptive, Retrieval, Benchmarks, Parallelization, Failure, and Product</x:v>
      </x:c>
      <x:c r="V15" s="12" t="str">
        <x:v>The organizer-managed page explicitly invites prospective speakers to reach out; use Message organizers or the linked AI Camp site. Meetup</x:v>
      </x:c>
      <x:c r="W15" s="12" t="str">
        <x:v>Review the public route and decide whether to prepare the indicated talk or demo format.</x:v>
      </x:c>
      <x:c r="X15" s="12" t="str">
        <x:v>No general proposal form, talk length, compensation, travel support, or selection schedule is published.</x:v>
      </x:c>
      <x:c r="Y15" s="12" t="str">
        <x:v>https://www.meetup.com/aittg-boston/</x:v>
      </x:c>
    </x:row>
    <x:row r="16" ht="33" customHeight="1">
      <x:c r="A16" s="12" t="n">
        <x:v>12</x:v>
      </x:c>
      <x:c r="B16" s="15" t="n">
        <x:f>ROUND(M16*Scoring!$B$3+N16*Scoring!$B$4+O16*Scoring!$B$5+(6-P16)*Scoring!$B$6+Q16*Scoring!$B$7,3)</x:f>
        <x:v>1.745</x:v>
      </x:c>
      <x:c r="C16" s="12" t="str">
        <x:v>community/meetup</x:v>
      </x:c>
      <x:c r="D16" s="12" t="str">
        <x:v>NYC AI Developers Group / AI Camp</x:v>
      </x:c>
      <x:c r="E16" s="12" t="str">
        <x:v>Preferred US cities</x:v>
      </x:c>
      <x:c r="F16" s="12" t="str">
        <x:v>New York City; primarily in person</x:v>
      </x:c>
      <x:c r="G16" s="12" t="str">
        <x:v>in-person</x:v>
      </x:c>
      <x:c r="H16" s="18" t="n">
        <x:v>46282.5</x:v>
      </x:c>
      <x:c r="I16" s="12" t="str">
        <x:v>public form/contact route</x:v>
      </x:c>
      <x:c r="J16" s="18"/>
      <x:c r="K16" s="12" t="str">
        <x:v>Conjure Exactly Enough</x:v>
      </x:c>
      <x:c r="L16" s="12" t="str"/>
      <x:c r="M16" s="12" t="n">
        <x:v>1</x:v>
      </x:c>
      <x:c r="N16" s="12" t="n">
        <x:v>2</x:v>
      </x:c>
      <x:c r="O16" s="12" t="n">
        <x:v>2.38</x:v>
      </x:c>
      <x:c r="P16" s="12" t="n">
        <x:v>5</x:v>
      </x:c>
      <x:c r="Q16" s="12" t="n">
        <x:v>3</x:v>
      </x:c>
      <x:c r="R16" s="12" t="str">
        <x:v>Exact preferred city.</x:v>
      </x:c>
      <x:c r="S16" s="12" t="str">
        <x:v>Researcher-rated route and format effort; 1 is easiest and 5 is hardest.</x:v>
      </x:c>
      <x:c r="T16" s="12" t="str">
        <x:v>Public organizer/platform signal of at least 12,221 members, registrations, attendees, or reach.</x:v>
      </x:c>
      <x:c r="U16" s="12" t="str">
        <x:v>Adaptive, Retrieval, Benchmarks, Parallelization, Failure, Free tier, and Product</x:v>
      </x:c>
      <x:c r="V16" s="12" t="str">
        <x:v>Current listings include a Submit Topics route, and the group page invites speakers to reach out. Meetup</x:v>
      </x:c>
      <x:c r="W16" s="12" t="str">
        <x:v>Review the public route and decide whether to prepare the indicated talk or demo format.</x:v>
      </x:c>
      <x:c r="X16" s="12" t="str">
        <x:v>Proposal review cadence, format, travel, compensation, and whether the visible form is event-specific.</x:v>
      </x:c>
      <x:c r="Y16" s="12" t="str">
        <x:v>https://www.meetup.com/aittg-nyc/</x:v>
      </x:c>
    </x:row>
    <x:row r="17" ht="33" customHeight="1">
      <x:c r="A17" s="12" t="n">
        <x:v>13</x:v>
      </x:c>
      <x:c r="B17" s="15" t="n">
        <x:f>ROUND(M17*Scoring!$B$3+N17*Scoring!$B$4+O17*Scoring!$B$5+(6-P17)*Scoring!$B$6+Q17*Scoring!$B$7,3)</x:f>
        <x:v>1.745</x:v>
      </x:c>
      <x:c r="C17" s="12" t="str">
        <x:v>community/meetup</x:v>
      </x:c>
      <x:c r="D17" s="12" t="str">
        <x:v>Orlando Developers</x:v>
      </x:c>
      <x:c r="E17" s="12" t="str">
        <x:v>Preferred US cities</x:v>
      </x:c>
      <x:c r="F17" s="12" t="str">
        <x:v>Orlando; in person</x:v>
      </x:c>
      <x:c r="G17" s="12" t="str">
        <x:v>in-person</x:v>
      </x:c>
      <x:c r="H17" s="18"/>
      <x:c r="I17" s="12" t="str">
        <x:v>public form/contact route</x:v>
      </x:c>
      <x:c r="J17" s="18"/>
      <x:c r="K17" s="12" t="str">
        <x:v>Break the Mirror on Purpose</x:v>
      </x:c>
      <x:c r="L17" s="12" t="str"/>
      <x:c r="M17" s="12" t="n">
        <x:v>1</x:v>
      </x:c>
      <x:c r="N17" s="12" t="n">
        <x:v>2</x:v>
      </x:c>
      <x:c r="O17" s="12" t="n">
        <x:v>2.38</x:v>
      </x:c>
      <x:c r="P17" s="12" t="n">
        <x:v>5</x:v>
      </x:c>
      <x:c r="Q17" s="12" t="n">
        <x:v>3</x:v>
      </x:c>
      <x:c r="R17" s="12" t="str">
        <x:v>Exact preferred city.</x:v>
      </x:c>
      <x:c r="S17" s="12" t="str">
        <x:v>Researcher-rated route and format effort; 1 is easiest and 5 is hardest.</x:v>
      </x:c>
      <x:c r="T17" s="12" t="str">
        <x:v>Public organizer/platform signal of at least 8,545 members, registrations, attendees, or reach.</x:v>
      </x:c>
      <x:c r="U17" s="12" t="str">
        <x:v>Product, Failure, Adaptive, Retrieval, Benchmarks, Parallelization, Judgment, and Free tier</x:v>
      </x:c>
      <x:c r="V17" s="12" t="str">
        <x:v>No standing speaker form was found. Use the public organizer-message route on Meetup or the official Discord; the group runs technical talks and learning sessions. Meetup · community site</x:v>
      </x:c>
      <x:c r="W17" s="12" t="str">
        <x:v>Review the public route and decide whether to prepare the indicated talk or demo format.</x:v>
      </x:c>
      <x:c r="X17" s="12" t="str">
        <x:v>Next technical-program date, submission expectations, duration, and whether the organizer prioritizes local speakers.</x:v>
      </x:c>
      <x:c r="Y17" s="12" t="str">
        <x:v>https://www.meetup.com/orlandodevs/</x:v>
      </x:c>
    </x:row>
    <x:row r="18" ht="33" customHeight="1">
      <x:c r="A18" s="12" t="n">
        <x:v>14</x:v>
      </x:c>
      <x:c r="B18" s="15" t="n">
        <x:f>ROUND(M18*Scoring!$B$3+N18*Scoring!$B$4+O18*Scoring!$B$5+(6-P18)*Scoring!$B$6+Q18*Scoring!$B$7,3)</x:f>
        <x:v>1.78</x:v>
      </x:c>
      <x:c r="C18" s="12" t="str">
        <x:v>community/meetup</x:v>
      </x:c>
      <x:c r="D18" s="12" t="str">
        <x:v>Artificial Intelligencers</x:v>
      </x:c>
      <x:c r="E18" s="12" t="str">
        <x:v>Preferred US cities</x:v>
      </x:c>
      <x:c r="F18" s="12" t="str">
        <x:v>Nashville/Brentwood; recurring in person</x:v>
      </x:c>
      <x:c r="G18" s="12" t="str">
        <x:v>in-person</x:v>
      </x:c>
      <x:c r="H18" s="18" t="n">
        <x:v>46289.5</x:v>
      </x:c>
      <x:c r="I18" s="12" t="str">
        <x:v>public form/contact route</x:v>
      </x:c>
      <x:c r="J18" s="18"/>
      <x:c r="K18" s="12" t="str">
        <x:v>Conjure Exactly Enough</x:v>
      </x:c>
      <x:c r="L18" s="12" t="str"/>
      <x:c r="M18" s="12" t="n">
        <x:v>1</x:v>
      </x:c>
      <x:c r="N18" s="12" t="n">
        <x:v>1</x:v>
      </x:c>
      <x:c r="O18" s="12" t="n">
        <x:v>2.12</x:v>
      </x:c>
      <x:c r="P18" s="12" t="n">
        <x:v>3</x:v>
      </x:c>
      <x:c r="Q18" s="12" t="n">
        <x:v>3</x:v>
      </x:c>
      <x:c r="R18" s="12" t="str">
        <x:v>Exact preferred city.</x:v>
      </x:c>
      <x:c r="S18" s="12" t="str">
        <x:v>Researcher-rated route and format effort; 1 is easiest and 5 is hardest.</x:v>
      </x:c>
      <x:c r="T18" s="12" t="str">
        <x:v>Public organizer/platform signal of at least 527.</x:v>
      </x:c>
      <x:c r="U18" s="12" t="str">
        <x:v>All ten, especially Adaptive, Retrieval, Benchmarks, Failure, and Education with a concrete experiment</x:v>
      </x:c>
      <x:c r="V18" s="12" t="str">
        <x:v>Message the organizers on Meetup or use the public Discord. They maintain a list of people who want to share; presentations and demos run fifteen to twenty minutes. Meetup</x:v>
      </x:c>
      <x:c r="W18" s="12" t="str">
        <x:v>Review the public route and decide whether to prepare the indicated talk or demo format.</x:v>
      </x:c>
      <x:c r="X18" s="12" t="str">
        <x:v>September agenda availability, travel support, recording, and whether a slide talk needs a live demonstration.</x:v>
      </x:c>
      <x:c r="Y18" s="12" t="str">
        <x:v>https://www.meetup.com/nashville-ai-engineering/</x:v>
      </x:c>
    </x:row>
    <x:row r="19" ht="33" customHeight="1">
      <x:c r="A19" s="12" t="n">
        <x:v>15</x:v>
      </x:c>
      <x:c r="B19" s="15" t="n">
        <x:f>ROUND(M19*Scoring!$B$3+N19*Scoring!$B$4+O19*Scoring!$B$5+(6-P19)*Scoring!$B$6+Q19*Scoring!$B$7,3)</x:f>
        <x:v>1.82</x:v>
      </x:c>
      <x:c r="C19" s="12" t="str">
        <x:v>conference/event</x:v>
      </x:c>
      <x:c r="D19" s="12" t="str">
        <x:v>Data Summit</x:v>
      </x:c>
      <x:c r="E19" s="12" t="str">
        <x:v>Data Summit 2027</x:v>
      </x:c>
      <x:c r="F19" s="12" t="str">
        <x:v>Boston, United States</x:v>
      </x:c>
      <x:c r="G19" s="12" t="str">
        <x:v>in-person</x:v>
      </x:c>
      <x:c r="H19" s="18" t="n">
        <x:v>46518.5</x:v>
      </x:c>
      <x:c r="I19" s="12" t="str">
        <x:v>open</x:v>
      </x:c>
      <x:c r="J19" s="18" t="n">
        <x:v>46367.5</x:v>
      </x:c>
      <x:c r="K19" s="12" t="str">
        <x:v>Compute, Please (and a Receipt)</x:v>
      </x:c>
      <x:c r="L19" s="12" t="str">
        <x:v>failure-improvement</x:v>
      </x:c>
      <x:c r="M19" s="12" t="n">
        <x:v>1</x:v>
      </x:c>
      <x:c r="N19" s="12" t="n">
        <x:v>2</x:v>
      </x:c>
      <x:c r="O19" s="12" t="n">
        <x:v>2.08</x:v>
      </x:c>
      <x:c r="P19" s="12" t="n">
        <x:v>4</x:v>
      </x:c>
      <x:c r="Q19" s="12" t="n">
        <x:v>3</x:v>
      </x:c>
      <x:c r="R19" s="12" t="str">
        <x:v>Exact preferred city.</x:v>
      </x:c>
      <x:c r="S19" s="12" t="str">
        <x:v>Standard public proposal or organizer route with no hard requirement found.</x:v>
      </x:c>
      <x:c r="T19" s="12" t="str">
        <x:v>Established recurring conference or community series with visible program history.</x:v>
      </x:c>
      <x:c r="U19" s="12" t="str">
        <x:v>Agentic AI and operational-data tracks are relevant, although the audience is broader than agent orchestration.</x:v>
      </x:c>
      <x:c r="V19" s="12" t="str">
        <x:v>Proposal for conference tracks including agentic AI, data engineering and operational AI.</x:v>
      </x:c>
      <x:c r="W19" s="12" t="str">
        <x:v>Inspect the technical track requirements and submit only if a practitioner architecture slot fits by December 11.</x:v>
      </x:c>
      <x:c r="X19" s="12" t="str">
        <x:v>Format, economics and specific past-session evidence remain incomplete. | Format, economics, rights, accessibility, attendance and eligibility details unknown.</x:v>
      </x:c>
      <x:c r="Y19" s="12" t="str">
        <x:v>https://www.dbta.com/DataSummit/2027/CallForSpeakers.aspx</x:v>
      </x:c>
    </x:row>
    <x:row r="20" ht="33" customHeight="1">
      <x:c r="A20" s="12" t="n">
        <x:v>16</x:v>
      </x:c>
      <x:c r="B20" s="15" t="n">
        <x:f>ROUND(M20*Scoring!$B$3+N20*Scoring!$B$4+O20*Scoring!$B$5+(6-P20)*Scoring!$B$6+Q20*Scoring!$B$7,3)</x:f>
        <x:v>1.83</x:v>
      </x:c>
      <x:c r="C20" s="12" t="str">
        <x:v>community/meetup</x:v>
      </x:c>
      <x:c r="D20" s="12" t="str">
        <x:v>AI &amp; Product Colorado</x:v>
      </x:c>
      <x:c r="E20" s="12" t="str">
        <x:v>Denver/Colorado</x:v>
      </x:c>
      <x:c r="F20" s="12" t="str">
        <x:v>Boulder and Denver; monthly, in person</x:v>
      </x:c>
      <x:c r="G20" s="12" t="str">
        <x:v>in-person</x:v>
      </x:c>
      <x:c r="H20" s="18" t="n">
        <x:v>46279.5</x:v>
      </x:c>
      <x:c r="I20" s="12" t="str">
        <x:v>public form/contact route</x:v>
      </x:c>
      <x:c r="J20" s="18"/>
      <x:c r="K20" s="12" t="str">
        <x:v>Break the Mirror on Purpose</x:v>
      </x:c>
      <x:c r="L20" s="12" t="str"/>
      <x:c r="M20" s="12" t="n">
        <x:v>1</x:v>
      </x:c>
      <x:c r="N20" s="12" t="n">
        <x:v>2</x:v>
      </x:c>
      <x:c r="O20" s="12" t="n">
        <x:v>2.12</x:v>
      </x:c>
      <x:c r="P20" s="12" t="n">
        <x:v>4</x:v>
      </x:c>
      <x:c r="Q20" s="12" t="n">
        <x:v>3</x:v>
      </x:c>
      <x:c r="R20" s="12" t="str">
        <x:v>Exact preferred city.</x:v>
      </x:c>
      <x:c r="S20" s="12" t="str">
        <x:v>Researcher-rated route and format effort; 1 is easiest and 5 is hardest.</x:v>
      </x:c>
      <x:c r="T20" s="12" t="str">
        <x:v>Public organizer/platform signal of at least 1,842.</x:v>
      </x:c>
      <x:c r="U20" s="12" t="str">
        <x:v>Product is the direct hit; Judgment, Benchmarks, Adaptive, and Failure also fit product decision-making</x:v>
      </x:c>
      <x:c r="V20" s="12" t="str">
        <x:v>Message organizers on the Meetup page. No general speaker form found.</x:v>
      </x:c>
      <x:c r="W20" s="12" t="str">
        <x:v>Review the public route and decide whether to prepare the indicated talk or demo format.</x:v>
      </x:c>
      <x:c r="X20" s="12" t="str"/>
      <x:c r="Y20" s="12" t="str">
        <x:v>https://www.meetup.com/meetup-group-ai-and-product/</x:v>
      </x:c>
    </x:row>
    <x:row r="21" ht="33" customHeight="1">
      <x:c r="A21" s="12" t="n">
        <x:v>17</x:v>
      </x:c>
      <x:c r="B21" s="15" t="n">
        <x:f>ROUND(M21*Scoring!$B$3+N21*Scoring!$B$4+O21*Scoring!$B$5+(6-P21)*Scoring!$B$6+Q21*Scoring!$B$7,3)</x:f>
        <x:v>1.83</x:v>
      </x:c>
      <x:c r="C21" s="12" t="str">
        <x:v>community/meetup</x:v>
      </x:c>
      <x:c r="D21" s="12" t="str">
        <x:v>OLLI at the University of Denver</x:v>
      </x:c>
      <x:c r="E21" s="12" t="str">
        <x:v>Denver/Colorado</x:v>
      </x:c>
      <x:c r="F21" s="12" t="str">
        <x:v>Six Denver-metro sites and Zoom; adult lifelong learning</x:v>
      </x:c>
      <x:c r="G21" s="12" t="str">
        <x:v>in-person</x:v>
      </x:c>
      <x:c r="H21" s="18" t="n">
        <x:v>46281.5</x:v>
      </x:c>
      <x:c r="I21" s="12" t="str">
        <x:v>public form/contact route</x:v>
      </x:c>
      <x:c r="J21" s="18"/>
      <x:c r="K21" s="12" t="str">
        <x:v>Conjure Exactly Enough</x:v>
      </x:c>
      <x:c r="L21" s="12" t="str"/>
      <x:c r="M21" s="12" t="n">
        <x:v>1</x:v>
      </x:c>
      <x:c r="N21" s="12" t="n">
        <x:v>2</x:v>
      </x:c>
      <x:c r="O21" s="12" t="n">
        <x:v>2.12</x:v>
      </x:c>
      <x:c r="P21" s="12" t="n">
        <x:v>4</x:v>
      </x:c>
      <x:c r="Q21" s="12" t="n">
        <x:v>3</x:v>
      </x:c>
      <x:c r="R21" s="12" t="str">
        <x:v>Remote or online participation is available.</x:v>
      </x:c>
      <x:c r="S21" s="12" t="str">
        <x:v>Researcher-rated route and format effort; 1 is easiest and 5 is hardest.</x:v>
      </x:c>
      <x:c r="T21" s="12" t="str">
        <x:v>Public organizer/platform signal of at least 2,000.</x:v>
      </x:c>
      <x:c r="U21" s="12" t="str">
        <x:v>Education and Judgment are strongest; Product, Free tier, and broad AI literacy can work as multi-session courses</x:v>
      </x:c>
      <x:c r="V21" s="12" t="str">
        <x:v>Submit a course proposal through the Facilitator Portal; the office provides guidance and proposal deadlines. Facilitator FAQ and contact</x:v>
      </x:c>
      <x:c r="W21" s="12" t="str">
        <x:v>Review the public route and decide whether to prepare the indicated talk or demo format.</x:v>
      </x:c>
      <x:c r="X21" s="12" t="str"/>
      <x:c r="Y21" s="12" t="str">
        <x:v>https://olli.du.edu/olli/about/</x:v>
      </x:c>
    </x:row>
    <x:row r="22" ht="33" customHeight="1">
      <x:c r="A22" s="12" t="n">
        <x:v>18</x:v>
      </x:c>
      <x:c r="B22" s="15" t="n">
        <x:f>ROUND(M22*Scoring!$B$3+N22*Scoring!$B$4+O22*Scoring!$B$5+(6-P22)*Scoring!$B$6+Q22*Scoring!$B$7,3)</x:f>
        <x:v>1.833</x:v>
      </x:c>
      <x:c r="C22" s="12" t="str">
        <x:v>conference/event</x:v>
      </x:c>
      <x:c r="D22" s="12" t="str">
        <x:v>Lilly Conference Austin</x:v>
      </x:c>
      <x:c r="E22" s="12" t="str">
        <x:v>Lilly Austin 2027</x:v>
      </x:c>
      <x:c r="F22" s="12" t="str">
        <x:v>Austin, United States</x:v>
      </x:c>
      <x:c r="G22" s="12" t="str">
        <x:v>in-person</x:v>
      </x:c>
      <x:c r="H22" s="18" t="n">
        <x:v>46524.5</x:v>
      </x:c>
      <x:c r="I22" s="12" t="str">
        <x:v>open-rolling</x:v>
      </x:c>
      <x:c r="J22" s="18" t="n">
        <x:v>46341.5</x:v>
      </x:c>
      <x:c r="K22" s="12" t="str">
        <x:v>Outsmart Your Lying, Cheating Students</x:v>
      </x:c>
      <x:c r="L22" s="12" t="str">
        <x:v>skeptic-education</x:v>
      </x:c>
      <x:c r="M22" s="12" t="n">
        <x:v>1</x:v>
      </x:c>
      <x:c r="N22" s="12" t="n">
        <x:v>2</x:v>
      </x:c>
      <x:c r="O22" s="12" t="n">
        <x:v>2.13</x:v>
      </x:c>
      <x:c r="P22" s="12" t="n">
        <x:v>4</x:v>
      </x:c>
      <x:c r="Q22" s="12" t="n">
        <x:v>3</x:v>
      </x:c>
      <x:c r="R22" s="12" t="str">
        <x:v>Exact preferred city.</x:v>
      </x:c>
      <x:c r="S22" s="12" t="str">
        <x:v>Standard public proposal or organizer route with no hard requirement found.</x:v>
      </x:c>
      <x:c r="T22" s="12" t="str">
        <x:v>Established recurring conference or community series with visible program history.</x:v>
      </x:c>
      <x:c r="U22" s="12" t="str">
        <x:v>The edition is explicitly about AI and evidence-based teaching, with exact AI, assessment, and course-redesign tracks.</x:v>
      </x:c>
      <x:c r="V22" s="12" t="str">
        <x:v>10-word title; 25-word key statement; 100-word abstract; three outcomes; two tracks; 3-5 references</x:v>
      </x:c>
      <x:c r="W22" s="12" t="str">
        <x:v>Prepare the compact 100-word abstract, three outcomes, and research references; submit before the November 15 early-decision date.</x:v>
      </x:c>
      <x:c r="X22" s="12" t="str">
        <x:v>FINALIST; rolling call may close before January 15; requires 3-5 literature references; travel/economics unknown | CFP can close early; registration costs, compensation, travel, rights, and specific past-session evidence unknown. | Deadline absent from reviewed page; CFP form URL, durations, economics, rights, accessibility, and Dan's affiliation unknown | MERGE CONFLICTS/VARIANTS — edition_url: https://www.lillyconferences-tx.com/proposals | https://www.lillyconferences.com/; country: United States | USA; cfp_url: https://www.lillyconferences-tx.com/proposals | https://www.lillyconferences.com/; guidelines_url: https://www.lillyconferences-tx.com/proposals | https://www.lillyconferences.com/; cfp_status: open-rolling | open; eligibility: Higher-education teaching-and-learning contributors; exact presenter credential rules not found | Higher-education teaching community; affiliation requested but restriction not stated; formats_and_durations: Exact 2027 session formats/durations not found in accessible page | 20- or 40-minute presentation; roundtable; digital poster; submission_requirements: 10-word title; 25-word key statement; 100-word abstract; three outcomes; two tracks; 3-5 references | Blind peer review; expected scholarly/evidence-based teaching contribution; accessibility: ADA accommodations requested in writing before registration and at least three months before event | unknown; attendance_value: Series reports 125+ colleges/universities and 30+ states per conference | AI and the Future of Evidence-Based Teaching in Higher Education; attendance_year: 2026 | 2027; verified_at: 2026-09-04T12:00:00-06:00 | 2026-09-04T23:00:00-06:00</x:v>
      </x:c>
      <x:c r="Y22" s="12" t="str">
        <x:v>https://www.lillyconferences-tx.com/proposals</x:v>
      </x:c>
    </x:row>
    <x:row r="23" ht="33" customHeight="1">
      <x:c r="A23" s="12" t="n">
        <x:v>19</x:v>
      </x:c>
      <x:c r="B23" s="15" t="n">
        <x:f>ROUND(M23*Scoring!$B$3+N23*Scoring!$B$4+O23*Scoring!$B$5+(6-P23)*Scoring!$B$6+Q23*Scoring!$B$7,3)</x:f>
        <x:v>1.845</x:v>
      </x:c>
      <x:c r="C23" s="12" t="str">
        <x:v>community/meetup</x:v>
      </x:c>
      <x:c r="D23" s="12" t="str">
        <x:v>Denver AI and Machine Learning Group</x:v>
      </x:c>
      <x:c r="E23" s="12" t="str">
        <x:v>Denver/Colorado</x:v>
      </x:c>
      <x:c r="F23" s="12" t="str">
        <x:v>Westminster/Denver; in person with study sessions</x:v>
      </x:c>
      <x:c r="G23" s="12" t="str">
        <x:v>in-person</x:v>
      </x:c>
      <x:c r="H23" s="18" t="n">
        <x:v>46278.5</x:v>
      </x:c>
      <x:c r="I23" s="12" t="str">
        <x:v>public form/contact route</x:v>
      </x:c>
      <x:c r="J23" s="18"/>
      <x:c r="K23" s="12" t="str">
        <x:v>Conjure Exactly Enough</x:v>
      </x:c>
      <x:c r="L23" s="12" t="str"/>
      <x:c r="M23" s="12" t="n">
        <x:v>1</x:v>
      </x:c>
      <x:c r="N23" s="12" t="n">
        <x:v>1</x:v>
      </x:c>
      <x:c r="O23" s="12" t="n">
        <x:v>2.38</x:v>
      </x:c>
      <x:c r="P23" s="12" t="n">
        <x:v>3</x:v>
      </x:c>
      <x:c r="Q23" s="12" t="n">
        <x:v>3</x:v>
      </x:c>
      <x:c r="R23" s="12" t="str">
        <x:v>Exact preferred city.</x:v>
      </x:c>
      <x:c r="S23" s="12" t="str">
        <x:v>Researcher-rated route and format effort; 1 is easiest and 5 is hardest.</x:v>
      </x:c>
      <x:c r="T23" s="12" t="str">
        <x:v>Public organizer/platform signal of at least 674.</x:v>
      </x:c>
      <x:c r="U23" s="12" t="str">
        <x:v>Any technical talk; especially Adaptive, Retrieval, Benchmarks, Parallelization, and Failure</x:v>
      </x:c>
      <x:c r="V23" s="12" t="str">
        <x:v>The event explicitly says to message an organizer for a lightning or future extended talk. Meetup</x:v>
      </x:c>
      <x:c r="W23" s="12" t="str">
        <x:v>Review the public route and decide whether to prepare the indicated talk or demo format.</x:v>
      </x:c>
      <x:c r="X23" s="12" t="str"/>
      <x:c r="Y23" s="12" t="str">
        <x:v>https://www.meetup.com/denverml/</x:v>
      </x:c>
    </x:row>
    <x:row r="24" ht="33" customHeight="1">
      <x:c r="A24" s="12" t="n">
        <x:v>20</x:v>
      </x:c>
      <x:c r="B24" s="15" t="n">
        <x:f>ROUND(M24*Scoring!$B$3+N24*Scoring!$B$4+O24*Scoring!$B$5+(6-P24)*Scoring!$B$6+Q24*Scoring!$B$7,3)</x:f>
        <x:v>1.895</x:v>
      </x:c>
      <x:c r="C24" s="12" t="str">
        <x:v>community/meetup</x:v>
      </x:c>
      <x:c r="D24" s="12" t="str">
        <x:v>AI LA</x:v>
      </x:c>
      <x:c r="E24" s="12" t="str">
        <x:v>Preferred US cities</x:v>
      </x:c>
      <x:c r="F24" s="12" t="str">
        <x:v>Los Angeles; third-Thursday monthly format, in person</x:v>
      </x:c>
      <x:c r="G24" s="12" t="str">
        <x:v>in-person</x:v>
      </x:c>
      <x:c r="H24" s="18"/>
      <x:c r="I24" s="12" t="str">
        <x:v>public form/contact route</x:v>
      </x:c>
      <x:c r="J24" s="18"/>
      <x:c r="K24" s="12" t="str">
        <x:v>A Skeptic's Guide to Surviving AI in Education</x:v>
      </x:c>
      <x:c r="L24" s="12" t="str"/>
      <x:c r="M24" s="12" t="n">
        <x:v>1</x:v>
      </x:c>
      <x:c r="N24" s="12" t="n">
        <x:v>2</x:v>
      </x:c>
      <x:c r="O24" s="12" t="n">
        <x:v>2.38</x:v>
      </x:c>
      <x:c r="P24" s="12" t="n">
        <x:v>4</x:v>
      </x:c>
      <x:c r="Q24" s="12" t="n">
        <x:v>3</x:v>
      </x:c>
      <x:c r="R24" s="12" t="str">
        <x:v>Exact preferred city.</x:v>
      </x:c>
      <x:c r="S24" s="12" t="str">
        <x:v>Researcher-rated route and format effort; 1 is easiest and 5 is hardest.</x:v>
      </x:c>
      <x:c r="T24" s="12" t="str">
        <x:v>Public organizer/platform signal of at least 2,917.</x:v>
      </x:c>
      <x:c r="U24" s="12" t="str">
        <x:v>Education, Judgment, Product, Adaptive, Free tier, and Failure</x:v>
      </x:c>
      <x:c r="V24" s="12" t="str">
        <x:v>The organizer-managed page explicitly asks people to get in touch to showcase a project; use its mailing-list/contact route or Message organizers. Meetup</x:v>
      </x:c>
      <x:c r="W24" s="12" t="str">
        <x:v>Review the public route and decide whether to prepare the indicated talk or demo format.</x:v>
      </x:c>
      <x:c r="X24" s="12" t="str">
        <x:v>Recent visible events are sparse, and no public talk form, duration, or current agenda is published. Verify that monthly stage programming is active.</x:v>
      </x:c>
      <x:c r="Y24" s="12" t="str">
        <x:v>https://www.meetup.com/ai-la-meetup/</x:v>
      </x:c>
    </x:row>
    <x:row r="25" ht="33" customHeight="1">
      <x:c r="A25" s="12" t="n">
        <x:v>21</x:v>
      </x:c>
      <x:c r="B25" s="15" t="n">
        <x:f>ROUND(M25*Scoring!$B$3+N25*Scoring!$B$4+O25*Scoring!$B$5+(6-P25)*Scoring!$B$6+Q25*Scoring!$B$7,3)</x:f>
        <x:v>1.895</x:v>
      </x:c>
      <x:c r="C25" s="12" t="str">
        <x:v>community/meetup</x:v>
      </x:c>
      <x:c r="D25" s="12" t="str">
        <x:v>Denver AI Developers Group / AI Camp</x:v>
      </x:c>
      <x:c r="E25" s="12" t="str">
        <x:v>Denver/Colorado</x:v>
      </x:c>
      <x:c r="F25" s="12" t="str">
        <x:v>Denver and online</x:v>
      </x:c>
      <x:c r="G25" s="12" t="str">
        <x:v>remote/online</x:v>
      </x:c>
      <x:c r="H25" s="18" t="n">
        <x:v>46287.5</x:v>
      </x:c>
      <x:c r="I25" s="12" t="str">
        <x:v>public form/contact route</x:v>
      </x:c>
      <x:c r="J25" s="18"/>
      <x:c r="K25" s="12" t="str">
        <x:v>Conjure Exactly Enough</x:v>
      </x:c>
      <x:c r="L25" s="12" t="str"/>
      <x:c r="M25" s="12" t="n">
        <x:v>1</x:v>
      </x:c>
      <x:c r="N25" s="12" t="n">
        <x:v>2</x:v>
      </x:c>
      <x:c r="O25" s="12" t="n">
        <x:v>2.38</x:v>
      </x:c>
      <x:c r="P25" s="12" t="n">
        <x:v>4</x:v>
      </x:c>
      <x:c r="Q25" s="12" t="n">
        <x:v>3</x:v>
      </x:c>
      <x:c r="R25" s="12" t="str">
        <x:v>Remote or online participation is available.</x:v>
      </x:c>
      <x:c r="S25" s="12" t="str">
        <x:v>Researcher-rated route and format effort; 1 is easiest and 5 is hardest.</x:v>
      </x:c>
      <x:c r="T25" s="12" t="str">
        <x:v>Public organizer/platform signal of at least 1,763.</x:v>
      </x:c>
      <x:c r="U25" s="12" t="str">
        <x:v>Adaptive, Retrieval, Benchmarks, Parallelization, Failure, and Product</x:v>
      </x:c>
      <x:c r="V25" s="12" t="str">
        <x:v>Page says prospective speakers should reach out; use Message organizers or the linked AI Camp site. Meetup</x:v>
      </x:c>
      <x:c r="W25" s="12" t="str">
        <x:v>Review the public route and decide whether to prepare the indicated talk or demo format.</x:v>
      </x:c>
      <x:c r="X25" s="12" t="str"/>
      <x:c r="Y25" s="12" t="str">
        <x:v>https://www.aicamp.ai/</x:v>
      </x:c>
    </x:row>
    <x:row r="26" ht="33" customHeight="1">
      <x:c r="A26" s="12" t="n">
        <x:v>22</x:v>
      </x:c>
      <x:c r="B26" s="15" t="n">
        <x:f>ROUND(M26*Scoring!$B$3+N26*Scoring!$B$4+O26*Scoring!$B$5+(6-P26)*Scoring!$B$6+Q26*Scoring!$B$7,3)</x:f>
        <x:v>1.895</x:v>
      </x:c>
      <x:c r="C26" s="12" t="str">
        <x:v>community/meetup</x:v>
      </x:c>
      <x:c r="D26" s="12" t="str">
        <x:v>Denver AI Group</x:v>
      </x:c>
      <x:c r="E26" s="12" t="str">
        <x:v>Denver/Colorado</x:v>
      </x:c>
      <x:c r="F26" s="12" t="str">
        <x:v>University of Denver; monthly, in person</x:v>
      </x:c>
      <x:c r="G26" s="12" t="str">
        <x:v>in-person</x:v>
      </x:c>
      <x:c r="H26" s="18" t="n">
        <x:v>46288.5</x:v>
      </x:c>
      <x:c r="I26" s="12" t="str">
        <x:v>public form/contact route</x:v>
      </x:c>
      <x:c r="J26" s="18"/>
      <x:c r="K26" s="12" t="str">
        <x:v>Break the Mirror on Purpose</x:v>
      </x:c>
      <x:c r="L26" s="12" t="str"/>
      <x:c r="M26" s="12" t="n">
        <x:v>1</x:v>
      </x:c>
      <x:c r="N26" s="12" t="n">
        <x:v>2</x:v>
      </x:c>
      <x:c r="O26" s="12" t="n">
        <x:v>2.38</x:v>
      </x:c>
      <x:c r="P26" s="12" t="n">
        <x:v>4</x:v>
      </x:c>
      <x:c r="Q26" s="12" t="n">
        <x:v>3</x:v>
      </x:c>
      <x:c r="R26" s="12" t="str">
        <x:v>Exact preferred city.</x:v>
      </x:c>
      <x:c r="S26" s="12" t="str">
        <x:v>Researcher-rated route and format effort; 1 is easiest and 5 is hardest.</x:v>
      </x:c>
      <x:c r="T26" s="12" t="str">
        <x:v>Public organizer/platform signal of at least 2,469.</x:v>
      </x:c>
      <x:c r="U26" s="12" t="str">
        <x:v>Product, Benchmarks, Adaptive, Retrieval, and Judgment; reframe for mixed operators, founders, and technologists</x:v>
      </x:c>
      <x:c r="V26" s="12" t="str">
        <x:v>Message organizers on the Meetup group page. No formal speaker form found.</x:v>
      </x:c>
      <x:c r="W26" s="12" t="str">
        <x:v>Review the public route and decide whether to prepare the indicated talk or demo format.</x:v>
      </x:c>
      <x:c r="X26" s="12" t="str"/>
      <x:c r="Y26" s="12" t="str">
        <x:v>https://www.meetup.com/denverai/</x:v>
      </x:c>
    </x:row>
    <x:row r="27" ht="33" customHeight="1">
      <x:c r="A27" s="12" t="n">
        <x:v>23</x:v>
      </x:c>
      <x:c r="B27" s="15" t="n">
        <x:f>ROUND(M27*Scoring!$B$3+N27*Scoring!$B$4+O27*Scoring!$B$5+(6-P27)*Scoring!$B$6+Q27*Scoring!$B$7,3)</x:f>
        <x:v>1.9</x:v>
      </x:c>
      <x:c r="C27" s="12" t="str">
        <x:v>conference/event</x:v>
      </x:c>
      <x:c r="D27" s="12" t="str">
        <x:v>UPCEA Digital Teaching &amp; Learning Conference</x:v>
      </x:c>
      <x:c r="E27" s="12" t="str">
        <x:v>2027 UPCEA Digital Teaching &amp; Learning Conference</x:v>
      </x:c>
      <x:c r="F27" s="12" t="str">
        <x:v>virtual</x:v>
      </x:c>
      <x:c r="G27" s="12" t="str">
        <x:v>virtual</x:v>
      </x:c>
      <x:c r="H27" s="18" t="n">
        <x:v>46421.5</x:v>
      </x:c>
      <x:c r="I27" s="12" t="str">
        <x:v>open</x:v>
      </x:c>
      <x:c r="J27" s="18" t="n">
        <x:v>46295.5</x:v>
      </x:c>
      <x:c r="K27" s="12" t="str">
        <x:v>A Skeptic's Guide to Surviving AI in Education</x:v>
      </x:c>
      <x:c r="L27" s="12" t="str">
        <x:v>evidence-learning</x:v>
      </x:c>
      <x:c r="M27" s="12" t="n">
        <x:v>1</x:v>
      </x:c>
      <x:c r="N27" s="12" t="n">
        <x:v>4</x:v>
      </x:c>
      <x:c r="O27" s="12" t="n">
        <x:v>1.2</x:v>
      </x:c>
      <x:c r="P27" s="12" t="n">
        <x:v>4</x:v>
      </x:c>
      <x:c r="Q27" s="12" t="n">
        <x:v>2</x:v>
      </x:c>
      <x:c r="R27" s="12" t="str">
        <x:v>Remote or online participation is available.</x:v>
      </x:c>
      <x:c r="S27" s="12" t="str">
        <x:v>Requires recordings, membership/co-presenter status, real evidence, a demo, or substantial extra material.</x:v>
      </x:c>
      <x:c r="T27" s="12" t="str">
        <x:v>Established recurring conference or community series with visible program history.</x:v>
      </x:c>
      <x:c r="U27" s="12" t="str">
        <x:v>Exact audience includes instructional designers, faculty developers, faculty, and digital-learning leaders; CFP explicitly welcomes responsible AI, authentic assessment, evaluation, and controversial dialogue</x:v>
      </x:c>
      <x:c r="V27" s="12" t="str">
        <x:v>All speakers named; complete contact details; outcomes; engagement plan; level; evidence or reflective practice</x:v>
      </x:c>
      <x:c r="W27" s="12" t="str">
        <x:v>Verify membership/affiliation immediately; if eligible, adapt 150-word abstract to 50-minute concurrent format before 2026-09-30</x:v>
      </x:c>
      <x:c r="X27" s="12" t="str">
        <x:v>Hard barrier unless Dan is a current UPCEA member; corporate members need institutional co-presenter; registration required | Dan's UPCEA membership/affiliation and eligible co-presenter status are unknown; exact deadline time and registration price are not stated. | Dan's UPCEA membership, institutional affiliation, and professional-experience evidence are unknown; nonmember price and recording license not stated | MERGE CONFLICTS/VARIANTS — edition_label: 2027 UPCEA Digital Teaching &amp; Learning Conference | DT&amp;L 2027; eligibility: Presenter must be a current UPCEA institutional or corporate member; corporate members require an institutional-member co-presenter; significant online-learning experience expected | Presenters must be current UPCEA institutional or corporate members; corporate members need an institutional-member co-presenter; formats_and_durations: 50-minute concurrent; 60-minute workshop; 10-minute lightning; 3-5-minute asynchronous poster | 10-minute lightning; 50-minute concurrent; 60-minute workshop/general; submission_requirements: All speakers named; complete contact details; outcomes; engagement plan; level; evidence or reflective practice | All speakers named; learning goals; engagement plan; level; evaluation data or established models valued; compensation: Not stated | unknown; travel_support: Not applicable for virtual delivery | none; speaker_costs: Presenters responsible for registration and other expenses; free for institutional members; limited scholarships for eligible nonmembers | Presenter pays registration and related expenses; recording_rights: Organizers may edit title/description; digital materials collected | unknown; attendance_value: Instructional designers, faculty, researchers, and digital-learning leaders | Long-running predecessor conference; recordings of most 2026 sessions; verified_at: 2026-09-04T12:00:00-06:00 | 2026-09-04T23:00:00-06:00</x:v>
      </x:c>
      <x:c r="Y27" s="12" t="str">
        <x:v>https://conferences.upcea.edu/DTL2027/proposals.html</x:v>
      </x:c>
    </x:row>
    <x:row r="28" ht="33" customHeight="1">
      <x:c r="A28" s="12" t="n">
        <x:v>24</x:v>
      </x:c>
      <x:c r="B28" s="15" t="n">
        <x:f>ROUND(M28*Scoring!$B$3+N28*Scoring!$B$4+O28*Scoring!$B$5+(6-P28)*Scoring!$B$6+Q28*Scoring!$B$7,3)</x:f>
        <x:v>1.905</x:v>
      </x:c>
      <x:c r="C28" s="12" t="str">
        <x:v>conference/event</x:v>
      </x:c>
      <x:c r="D28" s="12" t="str">
        <x:v>STAREAST</x:v>
      </x:c>
      <x:c r="E28" s="12" t="str">
        <x:v>STAREAST 2027</x:v>
      </x:c>
      <x:c r="F28" s="12" t="str">
        <x:v>Orlando, United States</x:v>
      </x:c>
      <x:c r="G28" s="12" t="str">
        <x:v>hybrid</x:v>
      </x:c>
      <x:c r="H28" s="18" t="n">
        <x:v>46502.5</x:v>
      </x:c>
      <x:c r="I28" s="12" t="str">
        <x:v>open</x:v>
      </x:c>
      <x:c r="J28" s="18" t="n">
        <x:v>46271.5</x:v>
      </x:c>
      <x:c r="K28" s="12" t="str">
        <x:v>Stop Looking at My Benchmarks… Get Your Own!</x:v>
      </x:c>
      <x:c r="L28" s="12" t="str"/>
      <x:c r="M28" s="12" t="n">
        <x:v>1</x:v>
      </x:c>
      <x:c r="N28" s="12" t="n">
        <x:v>4</x:v>
      </x:c>
      <x:c r="O28" s="12" t="n">
        <x:v>1.62</x:v>
      </x:c>
      <x:c r="P28" s="12" t="n">
        <x:v>4</x:v>
      </x:c>
      <x:c r="Q28" s="12" t="n">
        <x:v>1</x:v>
      </x:c>
      <x:c r="R28" s="12" t="str">
        <x:v>Exact preferred city.</x:v>
      </x:c>
      <x:c r="S28" s="12" t="str">
        <x:v>Requires recordings, membership/co-presenter status, real evidence, a demo, or substantial extra material.</x:v>
      </x:c>
      <x:c r="T28" s="12" t="str">
        <x:v>Established recurring conference or community series with visible program history.</x:v>
      </x:c>
      <x:c r="U28" s="12" t="str">
        <x:v>Official submission topics include AI/ML for testing, performance monitoring, test strategy and metrics; hybrid reach is strong</x:v>
      </x:c>
      <x:c r="V28" s="12" t="str">
        <x:v>150-200 word single-paragraph description; 75-150 word third-person bio; headshot; topic/job-function selections</x:v>
      </x:c>
      <x:c r="W28" s="12" t="str">
        <x:v>Recheck form status immediately and prepare 150-200 word problem/action/takeaway description</x:v>
      </x:c>
      <x:c r="X28" s="12" t="str">
        <x:v>Deadline is two days after run; form requires headshot and marketing consent for access | Speaker economics, recording rights, accessibility, exact format, and deadline time zone unknown</x:v>
      </x:c>
      <x:c r="Y28" s="12" t="str">
        <x:v>https://stareast.techwell.com/speaker-submission-form-stareast-2027</x:v>
      </x:c>
    </x:row>
    <x:row r="29" ht="33" customHeight="1">
      <x:c r="A29" s="12" t="n">
        <x:v>25</x:v>
      </x:c>
      <x:c r="B29" s="15" t="n">
        <x:f>ROUND(M29*Scoring!$B$3+N29*Scoring!$B$4+O29*Scoring!$B$5+(6-P29)*Scoring!$B$6+Q29*Scoring!$B$7,3)</x:f>
        <x:v>1.92</x:v>
      </x:c>
      <x:c r="C29" s="12" t="str">
        <x:v>conference/event</x:v>
      </x:c>
      <x:c r="D29" s="12" t="str">
        <x:v>Visual Studio Live!</x:v>
      </x:c>
      <x:c r="E29" s="12" t="str">
        <x:v>Visual Studio Live! Austin 2027</x:v>
      </x:c>
      <x:c r="F29" s="12" t="str">
        <x:v>Austin, United States</x:v>
      </x:c>
      <x:c r="G29" s="12" t="str">
        <x:v>in-person</x:v>
      </x:c>
      <x:c r="H29" s="18" t="n">
        <x:v>46509.5</x:v>
      </x:c>
      <x:c r="I29" s="12" t="str">
        <x:v>open</x:v>
      </x:c>
      <x:c r="J29" s="18" t="n">
        <x:v>46300.5</x:v>
      </x:c>
      <x:c r="K29" s="12" t="str">
        <x:v>The Pager Cried Wolf</x:v>
      </x:c>
      <x:c r="L29" s="12" t="str">
        <x:v>parallelization</x:v>
      </x:c>
      <x:c r="M29" s="12" t="n">
        <x:v>1</x:v>
      </x:c>
      <x:c r="N29" s="12" t="n">
        <x:v>4</x:v>
      </x:c>
      <x:c r="O29" s="12" t="n">
        <x:v>1.28</x:v>
      </x:c>
      <x:c r="P29" s="12" t="n">
        <x:v>4</x:v>
      </x:c>
      <x:c r="Q29" s="12" t="n">
        <x:v>2</x:v>
      </x:c>
      <x:c r="R29" s="12" t="str">
        <x:v>Exact preferred city.</x:v>
      </x:c>
      <x:c r="S29" s="12" t="str">
        <x:v>Requires recordings, membership/co-presenter status, real evidence, a demo, or substantial extra material.</x:v>
      </x:c>
      <x:c r="T29" s="12" t="str">
        <x:v>Established recurring conference or community series with visible program history.</x:v>
      </x:c>
      <x:c r="U29" s="12" t="str">
        <x:v>Tracks explicitly ask for nondeterministic AI testing, evals, reliability, observability and DevOps.</x:v>
      </x:c>
      <x:c r="V29" s="12" t="str">
        <x:v>Abstract, learning objectives, bio including previous speaking experience; multiple proposals strongly encouraged.</x:v>
      </x:c>
      <x:c r="W29" s="12" t="str">
        <x:v>Verify deadline timezone, pair this 20-minute talk with two credible 75-minute proposals, then submit before October 5.</x:v>
      </x:c>
      <x:c r="X29" s="12" t="str">
        <x:v>Operational deadline timezone conflict; usual booking expects multiple 75-minute talks; prior speaking experience requested. | CFP deadline timezone conflict; stipend amount, rights, accessibility and attendance unknown. Talk requires 20-minute compression or 75-minute expansion and companion proposals.</x:v>
      </x:c>
      <x:c r="Y29" s="12" t="str">
        <x:v>https://sessionize.com/vslive_austin27/</x:v>
      </x:c>
    </x:row>
    <x:row r="30" ht="33" customHeight="1">
      <x:c r="A30" s="12" t="n">
        <x:v>26</x:v>
      </x:c>
      <x:c r="B30" s="15" t="n">
        <x:f>ROUND(M30*Scoring!$B$3+N30*Scoring!$B$4+O30*Scoring!$B$5+(6-P30)*Scoring!$B$6+Q30*Scoring!$B$7,3)</x:f>
        <x:v>1.945</x:v>
      </x:c>
      <x:c r="C30" s="12" t="str">
        <x:v>community/meetup</x:v>
      </x:c>
      <x:c r="D30" s="12" t="str">
        <x:v>New Tech Seattle</x:v>
      </x:c>
      <x:c r="E30" s="12" t="str">
        <x:v>Preferred US cities</x:v>
      </x:c>
      <x:c r="F30" s="12" t="str">
        <x:v>Seattle; monthly in person, plus separate virtual programming</x:v>
      </x:c>
      <x:c r="G30" s="12" t="str">
        <x:v>remote/online</x:v>
      </x:c>
      <x:c r="H30" s="18" t="n">
        <x:v>46280.5</x:v>
      </x:c>
      <x:c r="I30" s="12" t="str">
        <x:v>public form/contact route</x:v>
      </x:c>
      <x:c r="J30" s="18"/>
      <x:c r="K30" s="12" t="str">
        <x:v>Break the Mirror on Purpose</x:v>
      </x:c>
      <x:c r="L30" s="12" t="str"/>
      <x:c r="M30" s="12" t="n">
        <x:v>1</x:v>
      </x:c>
      <x:c r="N30" s="12" t="n">
        <x:v>3</x:v>
      </x:c>
      <x:c r="O30" s="12" t="n">
        <x:v>2.38</x:v>
      </x:c>
      <x:c r="P30" s="12" t="n">
        <x:v>5</x:v>
      </x:c>
      <x:c r="Q30" s="12" t="n">
        <x:v>3</x:v>
      </x:c>
      <x:c r="R30" s="12" t="str">
        <x:v>Remote or online participation is available.</x:v>
      </x:c>
      <x:c r="S30" s="12" t="str">
        <x:v>Researcher-rated route and format effort; 1 is easiest and 5 is hardest.</x:v>
      </x:c>
      <x:c r="T30" s="12" t="str">
        <x:v>Public organizer/platform signal of at least 60,000 members, registrations, attendees, or reach.</x:v>
      </x:c>
      <x:c r="U30" s="12" t="str">
        <x:v>Product, Judgment, Free tier, Failure, Education, and broad versions of the technical talks</x:v>
      </x:c>
      <x:c r="V30" s="12" t="str">
        <x:v>The first-party site says community members can present at monthly meetups; use its public community/contact route. About New Tech Northwest</x:v>
      </x:c>
      <x:c r="W30" s="12" t="str">
        <x:v>Review the public route and decide whether to prepare the indicated talk or demo format.</x:v>
      </x:c>
      <x:c r="X30" s="12" t="str">
        <x:v>No dedicated presenter form, duration, editorial criteria, or speaker economics were found. Startup/product showcases may be favored over independent talks.</x:v>
      </x:c>
      <x:c r="Y30" s="12" t="str">
        <x:v>https://www.newtechnorthwest.com/about/</x:v>
      </x:c>
    </x:row>
    <x:row r="31" ht="33" customHeight="1">
      <x:c r="A31" s="12" t="n">
        <x:v>27</x:v>
      </x:c>
      <x:c r="B31" s="15" t="n">
        <x:f>ROUND(M31*Scoring!$B$3+N31*Scoring!$B$4+O31*Scoring!$B$5+(6-P31)*Scoring!$B$6+Q31*Scoring!$B$7,3)</x:f>
        <x:v>1.945</x:v>
      </x:c>
      <x:c r="C31" s="12" t="str">
        <x:v>community/meetup</x:v>
      </x:c>
      <x:c r="D31" s="12" t="str">
        <x:v>ProductTank San Francisco</x:v>
      </x:c>
      <x:c r="E31" s="12" t="str">
        <x:v>Preferred US cities</x:v>
      </x:c>
      <x:c r="F31" s="12" t="str">
        <x:v>San Francisco; in person</x:v>
      </x:c>
      <x:c r="G31" s="12" t="str">
        <x:v>in-person</x:v>
      </x:c>
      <x:c r="H31" s="18"/>
      <x:c r="I31" s="12" t="str">
        <x:v>public form/contact route</x:v>
      </x:c>
      <x:c r="J31" s="18"/>
      <x:c r="K31" s="12" t="str">
        <x:v>Break the Mirror on Purpose</x:v>
      </x:c>
      <x:c r="L31" s="12" t="str"/>
      <x:c r="M31" s="12" t="n">
        <x:v>1</x:v>
      </x:c>
      <x:c r="N31" s="12" t="n">
        <x:v>3</x:v>
      </x:c>
      <x:c r="O31" s="12" t="n">
        <x:v>2.38</x:v>
      </x:c>
      <x:c r="P31" s="12" t="n">
        <x:v>5</x:v>
      </x:c>
      <x:c r="Q31" s="12" t="n">
        <x:v>3</x:v>
      </x:c>
      <x:c r="R31" s="12" t="str">
        <x:v>Exact preferred city.</x:v>
      </x:c>
      <x:c r="S31" s="12" t="str">
        <x:v>Researcher-rated route and format effort; 1 is easiest and 5 is hardest.</x:v>
      </x:c>
      <x:c r="T31" s="12" t="str">
        <x:v>Public organizer/platform signal of at least 7,075 members, registrations, attendees, or reach.</x:v>
      </x:c>
      <x:c r="U31" s="12" t="str">
        <x:v>Product, Judgment, Failure, Free tier, Adaptive, and Benchmarks</x:v>
      </x:c>
      <x:c r="V31" s="12" t="str">
        <x:v>Join Mind the Product's public speaker directory so local organizers can find the talk; the chapter also exposes organizer messaging. Speaker directory route · chapter</x:v>
      </x:c>
      <x:c r="W31" s="12" t="str">
        <x:v>Review the public route and decide whether to prepare the indicated talk or demo format.</x:v>
      </x:c>
      <x:c r="X31" s="12" t="str">
        <x:v>Current local programming cadence, slot length, local selection process, and whether directory entries can name several talks.</x:v>
      </x:c>
      <x:c r="Y31" s="12" t="str">
        <x:v>https://www.mindtheproduct.com/producttank/</x:v>
      </x:c>
    </x:row>
    <x:row r="32" ht="33" customHeight="1">
      <x:c r="A32" s="12" t="n">
        <x:v>28</x:v>
      </x:c>
      <x:c r="B32" s="15" t="n">
        <x:f>ROUND(M32*Scoring!$B$3+N32*Scoring!$B$4+O32*Scoring!$B$5+(6-P32)*Scoring!$B$6+Q32*Scoring!$B$7,3)</x:f>
        <x:v>1.955</x:v>
      </x:c>
      <x:c r="C32" s="12" t="str">
        <x:v>conference/event</x:v>
      </x:c>
      <x:c r="D32" s="12" t="str">
        <x:v>KubeCon + CloudNativeCon North America</x:v>
      </x:c>
      <x:c r="E32" s="12" t="str">
        <x:v>KubeCon + CloudNativeCon North America 2027</x:v>
      </x:c>
      <x:c r="F32" s="12" t="str">
        <x:v>New Orleans, United States</x:v>
      </x:c>
      <x:c r="G32" s="12" t="str">
        <x:v>in-person</x:v>
      </x:c>
      <x:c r="H32" s="18" t="n">
        <x:v>46699.5</x:v>
      </x:c>
      <x:c r="I32" s="12" t="str">
        <x:v>announced-not-open</x:v>
      </x:c>
      <x:c r="J32" s="18"/>
      <x:c r="K32" s="12" t="str">
        <x:v>Conjure Exactly Enough</x:v>
      </x:c>
      <x:c r="L32" s="12" t="str"/>
      <x:c r="M32" s="12" t="n">
        <x:v>1</x:v>
      </x:c>
      <x:c r="N32" s="12" t="n">
        <x:v>2</x:v>
      </x:c>
      <x:c r="O32" s="12" t="n">
        <x:v>3.22</x:v>
      </x:c>
      <x:c r="P32" s="12" t="n">
        <x:v>5</x:v>
      </x:c>
      <x:c r="Q32" s="12" t="n">
        <x:v>3</x:v>
      </x:c>
      <x:c r="R32" s="12" t="str">
        <x:v>Exact preferred city.</x:v>
      </x:c>
      <x:c r="S32" s="12" t="str">
        <x:v>Standard public proposal or organizer route with no hard requirement found.</x:v>
      </x:c>
      <x:c r="T32" s="12" t="str">
        <x:v>Established flagship or large organizer-backed event; exact audience count may be an organizer claim or unstated.</x:v>
      </x:c>
      <x:c r="U32" s="12" t="str">
        <x:v>Excellent audience and likely track fit based on Europe 2027, but North America CFP details are not yet published.</x:v>
      </x:c>
      <x:c r="V32" s="12" t="str"/>
      <x:c r="W32" s="12" t="str">
        <x:v>When CFP opens, verify tracks, repeat-talk rule, and whether a materially updated variant is eligible.</x:v>
      </x:c>
      <x:c r="X32" s="12" t="str">
        <x:v>Repeat-talk rules may prohibit reuse after Europe; no current CFP details. | Official calendar says CFP details coming soon; all submission and economics details unknown. | CFP dates, tracks, formats, terms, economics, rights, and accessibility not published | MERGE CONFLICTS/VARIANTS — edition_url: https://events.linuxfoundation.org/kubecon-cloudnativecon-north-america/ | https://events.linuxfoundation.org/about/calendar/; date_status: confirmed | exact; cfp_url: https://events.linuxfoundation.org/kubecon-cloudnativecon-north-america/ | https://events.linuxfoundation.org/about/calendar/; guidelines_url: https://events.linuxfoundation.org/kubecon-cloudnativecon-north-america/ | https://events.linuxfoundation.org/about/calendar/; verified_at: 2026-09-04T23:00:00-06:00 | 2026-09-04T23:30:00-06:00</x:v>
      </x:c>
      <x:c r="Y32" s="12" t="str">
        <x:v>https://events.linuxfoundation.org/kubecon-cloudnativecon-north-america/</x:v>
      </x:c>
    </x:row>
    <x:row r="33" ht="33" customHeight="1">
      <x:c r="A33" s="12" t="n">
        <x:v>29</x:v>
      </x:c>
      <x:c r="B33" s="15" t="n">
        <x:f>ROUND(M33*Scoring!$B$3+N33*Scoring!$B$4+O33*Scoring!$B$5+(6-P33)*Scoring!$B$6+Q33*Scoring!$B$7,3)</x:f>
        <x:v>1.97</x:v>
      </x:c>
      <x:c r="C33" s="12" t="str">
        <x:v>conference/event</x:v>
      </x:c>
      <x:c r="D33" s="12" t="str">
        <x:v>CES</x:v>
      </x:c>
      <x:c r="E33" s="12" t="str">
        <x:v>CES 2027</x:v>
      </x:c>
      <x:c r="F33" s="12" t="str">
        <x:v>Las Vegas, United States</x:v>
      </x:c>
      <x:c r="G33" s="12" t="str">
        <x:v>in-person</x:v>
      </x:c>
      <x:c r="H33" s="18" t="n">
        <x:v>46393.5</x:v>
      </x:c>
      <x:c r="I33" s="12" t="str">
        <x:v>open</x:v>
      </x:c>
      <x:c r="J33" s="18" t="n">
        <x:v>46274.5</x:v>
      </x:c>
      <x:c r="K33" s="12" t="str">
        <x:v>Turn Your Thinkin' Tokens Up to 11</x:v>
      </x:c>
      <x:c r="L33" s="12" t="str">
        <x:v>product-engineering</x:v>
      </x:c>
      <x:c r="M33" s="12" t="n">
        <x:v>1</x:v>
      </x:c>
      <x:c r="N33" s="12" t="n">
        <x:v>5</x:v>
      </x:c>
      <x:c r="O33" s="12" t="n">
        <x:v>1.68</x:v>
      </x:c>
      <x:c r="P33" s="12" t="n">
        <x:v>5</x:v>
      </x:c>
      <x:c r="Q33" s="12" t="n">
        <x:v>1</x:v>
      </x:c>
      <x:c r="R33" s="12" t="str">
        <x:v>Exact preferred city.</x:v>
      </x:c>
      <x:c r="S33" s="12" t="str">
        <x:v>Hard credential, publication, domain, or firsthand-evidence requirement.</x:v>
      </x:c>
      <x:c r="T33" s="12" t="str">
        <x:v>Established flagship or large organizer-backed event; exact audience count may be an organizer claim or unstated.</x:v>
      </x:c>
      <x:c r="U33" s="12" t="str">
        <x:v>Broad technology-leadership audience and open editorial route; strong reach but limited software-engineering concentration.</x:v>
      </x:c>
      <x:c r="V33" s="12" t="str">
        <x:v>Speaker application; independent editorial selection. Sponsored opportunities are separate.</x:v>
      </x:c>
      <x:c r="W33" s="12" t="str">
        <x:v>Submit only a tight editorial application by September 9; do not pursue sponsored placement.</x:v>
      </x:c>
      <x:c r="X33" s="12" t="str">
        <x:v>Very short runway; selection favors visible influence; no payment or travel support; format unknown. | Format, recording rights, accessibility, selection timing and Dan's evidence of influence unknown.</x:v>
      </x:c>
      <x:c r="Y33" s="12" t="str">
        <x:v>https://www.ces.tech/cfs</x:v>
      </x:c>
    </x:row>
    <x:row r="34" ht="33" customHeight="1">
      <x:c r="A34" s="12" t="n">
        <x:v>30</x:v>
      </x:c>
      <x:c r="B34" s="15" t="n">
        <x:f>ROUND(M34*Scoring!$B$3+N34*Scoring!$B$4+O34*Scoring!$B$5+(6-P34)*Scoring!$B$6+Q34*Scoring!$B$7,3)</x:f>
        <x:v>1.995</x:v>
      </x:c>
      <x:c r="C34" s="12" t="str">
        <x:v>community/meetup</x:v>
      </x:c>
      <x:c r="D34" s="12" t="str">
        <x:v>Colorado AI Builders</x:v>
      </x:c>
      <x:c r="E34" s="12" t="str">
        <x:v>Denver/Colorado</x:v>
      </x:c>
      <x:c r="F34" s="12" t="str">
        <x:v>Alternates Boulder and Denver about every six weeks; in person</x:v>
      </x:c>
      <x:c r="G34" s="12" t="str">
        <x:v>in-person</x:v>
      </x:c>
      <x:c r="H34" s="18" t="n">
        <x:v>46280.5</x:v>
      </x:c>
      <x:c r="I34" s="12" t="str">
        <x:v>public form/contact route</x:v>
      </x:c>
      <x:c r="J34" s="18"/>
      <x:c r="K34" s="12" t="str">
        <x:v>Conjure Exactly Enough</x:v>
      </x:c>
      <x:c r="L34" s="12" t="str"/>
      <x:c r="M34" s="12" t="n">
        <x:v>1</x:v>
      </x:c>
      <x:c r="N34" s="12" t="n">
        <x:v>1</x:v>
      </x:c>
      <x:c r="O34" s="12" t="n">
        <x:v>2.38</x:v>
      </x:c>
      <x:c r="P34" s="12" t="n">
        <x:v>2</x:v>
      </x:c>
      <x:c r="Q34" s="12" t="n">
        <x:v>3</x:v>
      </x:c>
      <x:c r="R34" s="12" t="str">
        <x:v>Exact preferred city.</x:v>
      </x:c>
      <x:c r="S34" s="12" t="str">
        <x:v>Researcher-rated route and format effort; 1 is easiest and 5 is hardest.</x:v>
      </x:c>
      <x:c r="T34" s="12" t="str">
        <x:v>Recurring program or sponsor/history evidence is visible; no strong comparable audience count was found.</x:v>
      </x:c>
      <x:c r="U34" s="12" t="str">
        <x:v>Adaptive, Product, Retrieval, Parallelization, Benchmarks, and Free tier as a concrete demo</x:v>
      </x:c>
      <x:c r="V34" s="12" t="str">
        <x:v>Put a demo description in the event RSVP; organizers state they receive more demo requests than slots. 2026-09-15 Luma event</x:v>
      </x:c>
      <x:c r="W34" s="12" t="str">
        <x:v>Review the public route and decide whether to prepare the indicated talk or demo format.</x:v>
      </x:c>
      <x:c r="X34" s="12" t="str"/>
      <x:c r="Y34" s="12" t="str">
        <x:v>https://luma.com/albyi559</x:v>
      </x:c>
    </x:row>
    <x:row r="35" ht="33" customHeight="1">
      <x:c r="A35" s="12" t="n">
        <x:v>31</x:v>
      </x:c>
      <x:c r="B35" s="15" t="n">
        <x:f>ROUND(M35*Scoring!$B$3+N35*Scoring!$B$4+O35*Scoring!$B$5+(6-P35)*Scoring!$B$6+Q35*Scoring!$B$7,3)</x:f>
        <x:v>1.995</x:v>
      </x:c>
      <x:c r="C35" s="12" t="str">
        <x:v>community/meetup</x:v>
      </x:c>
      <x:c r="D35" s="12" t="str">
        <x:v>Vegas Programmers</x:v>
      </x:c>
      <x:c r="E35" s="12" t="str">
        <x:v>Preferred US cities</x:v>
      </x:c>
      <x:c r="F35" s="12" t="str">
        <x:v>Las Vegas; third Saturday at Tech Alley</x:v>
      </x:c>
      <x:c r="G35" s="12" t="str">
        <x:v>in-person</x:v>
      </x:c>
      <x:c r="H35" s="18" t="n">
        <x:v>46284.5</x:v>
      </x:c>
      <x:c r="I35" s="12" t="str">
        <x:v>public form/contact route</x:v>
      </x:c>
      <x:c r="J35" s="18"/>
      <x:c r="K35" s="12" t="str">
        <x:v>Break the Mirror on Purpose</x:v>
      </x:c>
      <x:c r="L35" s="12" t="str"/>
      <x:c r="M35" s="12" t="n">
        <x:v>1</x:v>
      </x:c>
      <x:c r="N35" s="12" t="n">
        <x:v>1</x:v>
      </x:c>
      <x:c r="O35" s="12" t="n">
        <x:v>2.38</x:v>
      </x:c>
      <x:c r="P35" s="12" t="n">
        <x:v>2</x:v>
      </x:c>
      <x:c r="Q35" s="12" t="n">
        <x:v>3</x:v>
      </x:c>
      <x:c r="R35" s="12" t="str">
        <x:v>Exact preferred city.</x:v>
      </x:c>
      <x:c r="S35" s="12" t="str">
        <x:v>Researcher-rated route and format effort; 1 is easiest and 5 is hardest.</x:v>
      </x:c>
      <x:c r="T35" s="12" t="str">
        <x:v>Recurring program or sponsor/history evidence is visible; no strong comparable audience count was found.</x:v>
      </x:c>
      <x:c r="U35" s="12" t="str">
        <x:v>Product, Failure, Adaptive, Retrieval, Benchmarks, Parallelization, Judgment, and Free tier</x:v>
      </x:c>
      <x:c r="V35" s="12" t="str">
        <x:v>The group publishes a direct Present your idea at Demo Time route. Vegas Programmers</x:v>
      </x:c>
      <x:c r="W35" s="12" t="str">
        <x:v>Review the public route and decide whether to prepare the indicated talk or demo format.</x:v>
      </x:c>
      <x:c r="X35" s="12" t="str">
        <x:v>Demo length, September availability, selection method, and whether the requested talk must include code.</x:v>
      </x:c>
      <x:c r="Y35" s="12" t="str">
        <x:v>https://www.phpvegas.com/</x:v>
      </x:c>
    </x:row>
    <x:row r="36" ht="33" customHeight="1">
      <x:c r="A36" s="12" t="n">
        <x:v>32</x:v>
      </x:c>
      <x:c r="B36" s="15" t="n">
        <x:f>ROUND(M36*Scoring!$B$3+N36*Scoring!$B$4+O36*Scoring!$B$5+(6-P36)*Scoring!$B$6+Q36*Scoring!$B$7,3)</x:f>
        <x:v>2</x:v>
      </x:c>
      <x:c r="C36" s="12" t="str">
        <x:v>conference/event</x:v>
      </x:c>
      <x:c r="D36" s="12" t="str">
        <x:v>Global AI Community Seattle</x:v>
      </x:c>
      <x:c r="E36" s="12" t="str">
        <x:v>Global AI Community Seattle 2026-2027 series</x:v>
      </x:c>
      <x:c r="F36" s="12" t="str">
        <x:v>Seattle / Bellevue, United States</x:v>
      </x:c>
      <x:c r="G36" s="12" t="str">
        <x:v>in-person</x:v>
      </x:c>
      <x:c r="H36" s="18" t="n">
        <x:v>46344.5</x:v>
      </x:c>
      <x:c r="I36" s="12" t="str">
        <x:v>rolling</x:v>
      </x:c>
      <x:c r="J36" s="18"/>
      <x:c r="K36" s="12" t="str">
        <x:v>Compute, Please (and a Receipt)</x:v>
      </x:c>
      <x:c r="L36" s="12" t="str">
        <x:v>failure-improvement</x:v>
      </x:c>
      <x:c r="M36" s="12" t="n">
        <x:v>1</x:v>
      </x:c>
      <x:c r="N36" s="12" t="n">
        <x:v>2</x:v>
      </x:c>
      <x:c r="O36" s="12" t="n">
        <x:v>1.6</x:v>
      </x:c>
      <x:c r="P36" s="12" t="n">
        <x:v>2</x:v>
      </x:c>
      <x:c r="Q36" s="12" t="n">
        <x:v>3</x:v>
      </x:c>
      <x:c r="R36" s="12" t="str">
        <x:v>Exact preferred city.</x:v>
      </x:c>
      <x:c r="S36" s="12" t="str">
        <x:v>Standard public proposal or organizer route with no hard requirement found.</x:v>
      </x:c>
      <x:c r="T36" s="12" t="str">
        <x:v>Recurring program or sponsor/history evidence is visible; no strong comparable audience count was found.</x:v>
      </x:c>
      <x:c r="U36" s="12" t="str">
        <x:v>Direct AI-agent, infrastructure and developer-tool audience with a verified rolling route; suitable for iterating the talk.</x:v>
      </x:c>
      <x:c r="V36" s="12" t="str">
        <x:v>Proposal aligned to agents, infrastructure, MLOps/platform or developer tooling.</x:v>
      </x:c>
      <x:c r="W36" s="12" t="str">
        <x:v>Choose a 2027 date after internal travel review and tailor the proposal to the listed agents/tooling topics.</x:v>
      </x:c>
      <x:c r="X36" s="12" t="str">
        <x:v>Travel origin and individual meetup slot duration are unknown. | Exact venue by date, durations, economics, rights, accessibility, attendance and multiple-submission rules unknown.</x:v>
      </x:c>
      <x:c r="Y36" s="12" t="str">
        <x:v>https://sessionize.com/global-ai-community-seattle/</x:v>
      </x:c>
    </x:row>
    <x:row r="37" ht="33" customHeight="1">
      <x:c r="A37" s="12" t="n">
        <x:v>33</x:v>
      </x:c>
      <x:c r="B37" s="15" t="n">
        <x:f>ROUND(M37*Scoring!$B$3+N37*Scoring!$B$4+O37*Scoring!$B$5+(6-P37)*Scoring!$B$6+Q37*Scoring!$B$7,3)</x:f>
        <x:v>2</x:v>
      </x:c>
      <x:c r="C37" s="12" t="str">
        <x:v>conference/event</x:v>
      </x:c>
      <x:c r="D37" s="12" t="str">
        <x:v>OLC Innovate</x:v>
      </x:c>
      <x:c r="E37" s="12" t="str">
        <x:v>OLC Innovate 2027</x:v>
      </x:c>
      <x:c r="F37" s="12" t="str">
        <x:v>virtual</x:v>
      </x:c>
      <x:c r="G37" s="12" t="str">
        <x:v>virtual</x:v>
      </x:c>
      <x:c r="H37" s="18" t="n">
        <x:v>46497.5</x:v>
      </x:c>
      <x:c r="I37" s="12" t="str">
        <x:v>announced-not-open</x:v>
      </x:c>
      <x:c r="J37" s="18" t="n">
        <x:v>46336.5</x:v>
      </x:c>
      <x:c r="K37" s="12" t="str">
        <x:v>A Skeptic's Guide to Surviving AI in Education</x:v>
      </x:c>
      <x:c r="L37" s="12" t="str">
        <x:v>evidence-learning</x:v>
      </x:c>
      <x:c r="M37" s="12" t="n">
        <x:v>1</x:v>
      </x:c>
      <x:c r="N37" s="12" t="n">
        <x:v>4</x:v>
      </x:c>
      <x:c r="O37" s="12" t="n">
        <x:v>1.2</x:v>
      </x:c>
      <x:c r="P37" s="12" t="n">
        <x:v>4</x:v>
      </x:c>
      <x:c r="Q37" s="12" t="n">
        <x:v>3</x:v>
      </x:c>
      <x:c r="R37" s="12" t="str">
        <x:v>Remote or online participation is available.</x:v>
      </x:c>
      <x:c r="S37" s="12" t="str">
        <x:v>Requires recordings, membership/co-presenter status, real evidence, a demo, or substantial extra material.</x:v>
      </x:c>
      <x:c r="T37" s="12" t="str">
        <x:v>Established recurring conference or community series with visible program history.</x:v>
      </x:c>
      <x:c r="U37" s="12" t="str">
        <x:v>Conference explicitly targets digital learning, AI policy/literacy, changing workforce, and practical educational sessions; virtual delivery lowers travel friction</x:v>
      </x:c>
      <x:c r="V37" s="12" t="str">
        <x:v>Double-blind proposal; outcomes; audience appeal; interactivity; vendor-neutral educational content</x:v>
      </x:c>
      <x:c r="W37" s="12" t="str">
        <x:v>Prepare proposal now and verify portal fields on 2026-09-15; submit by 2026-11-10 if economics and status permit</x:v>
      </x:c>
      <x:c r="X37" s="12" t="str">
        <x:v>Accepted presenters pay registration; vendor product submissions may need educator/L&amp;D co-presenter; exact duration pending | CFP opens 2026-09-15; 2027 recording/accessibility terms and registration price unknown. | Registration price, rights, accessibility, Dan's vendor status/affiliation, and exact session duration unknown | MERGE CONFLICTS/VARIANTS — eligibility: Educators, vendors, and industry L&amp;D may submit; vendor product sessions require educator or industry-L&amp;D co-presenter | Educators, vendors, and L&amp;D professionals may submit; product/service proposals need educator or L&amp;D co-presenter; formats_and_durations: Academic presentation and interactive formats; exact durations should be rechecked when portal opens | Multiple virtual session types; exact 2027 durations not captured; submission_requirements: Double-blind proposal; outcomes; audience appeal; interactivity; vendor-neutral educational content | Double-blind proposal; educational/non-promotional; alignment, outcomes, appeal, interactivity; travel_support: No travel needed | none; speaker_costs: Accepted presenters must register and pay published fee; price not yet available | Accepted presenters must register and pay published fee; recording_rights: 2026 sessions were recorded for nine months; 2027 rights not stated | unknown; attendance_value: Global online-learning practitioner network; attendance figure not verified | International online/digital/blended-learning community; verified_at: 2026-09-04T12:00:00-06:00 | 2026-09-04T23:00:00-06:00</x:v>
      </x:c>
      <x:c r="Y37" s="12" t="str">
        <x:v>https://onlinelearningconsortium.org/conferences/olc-innovate2027/present/</x:v>
      </x:c>
    </x:row>
    <x:row r="38" ht="33" customHeight="1">
      <x:c r="A38" s="12" t="n">
        <x:v>34</x:v>
      </x:c>
      <x:c r="B38" s="15" t="n">
        <x:f>ROUND(M38*Scoring!$B$3+N38*Scoring!$B$4+O38*Scoring!$B$5+(6-P38)*Scoring!$B$6+Q38*Scoring!$B$7,3)</x:f>
        <x:v>2.003</x:v>
      </x:c>
      <x:c r="C38" s="12" t="str">
        <x:v>conference/event</x:v>
      </x:c>
      <x:c r="D38" s="12" t="str">
        <x:v>WSCUC Accreditation Resource Conference</x:v>
      </x:c>
      <x:c r="E38" s="12" t="str">
        <x:v>ARC2027</x:v>
      </x:c>
      <x:c r="F38" s="12" t="str">
        <x:v>San Diego, United States</x:v>
      </x:c>
      <x:c r="G38" s="12" t="str">
        <x:v>in-person</x:v>
      </x:c>
      <x:c r="H38" s="18" t="n">
        <x:v>46484.5</x:v>
      </x:c>
      <x:c r="I38" s="12" t="str">
        <x:v>open</x:v>
      </x:c>
      <x:c r="J38" s="18" t="n">
        <x:v>46314.5</x:v>
      </x:c>
      <x:c r="K38" s="12" t="str">
        <x:v>Outsmart Your Lying, Cheating Students</x:v>
      </x:c>
      <x:c r="L38" s="12" t="str"/>
      <x:c r="M38" s="12" t="n">
        <x:v>1</x:v>
      </x:c>
      <x:c r="N38" s="12" t="n">
        <x:v>2</x:v>
      </x:c>
      <x:c r="O38" s="12" t="n">
        <x:v>2.01</x:v>
      </x:c>
      <x:c r="P38" s="12" t="n">
        <x:v>2</x:v>
      </x:c>
      <x:c r="Q38" s="12" t="n">
        <x:v>2</x:v>
      </x:c>
      <x:c r="R38" s="12" t="str">
        <x:v>Exact preferred city.</x:v>
      </x:c>
      <x:c r="S38" s="12" t="str">
        <x:v>Standard public proposal or organizer route with no hard requirement found.</x:v>
      </x:c>
      <x:c r="T38" s="12" t="str">
        <x:v>Recurring program or sponsor/history evidence is visible; no strong comparable audience count was found.</x:v>
      </x:c>
      <x:c r="U38" s="12" t="str">
        <x:v>WSCUC prioritizes evidence-based action and student success; prior programming includes AI and authentic assessment.</x:v>
      </x:c>
      <x:c r="V38" s="12" t="str">
        <x:v>Evidence-based action, tangible outcomes, applicability, audience appeal; vendor promotion excluded</x:v>
      </x:c>
      <x:c r="W38" s="12" t="str">
        <x:v>Verify whether Dan can credibly submit with or through an accredited institution, then adapt around institutional evidence and accreditation.</x:v>
      </x:c>
      <x:c r="X38" s="12" t="str">
        <x:v>FINALIST; in-person only; priority favors accredited institutions in good standing; all costs borne by presenters | Dan's relationship to a WSCUC-accredited institution is unknown and affects priority; exact format/duration and rights unknown.</x:v>
      </x:c>
      <x:c r="Y38" s="12" t="str">
        <x:v>https://www.wscuc.org/arc2027cfp/</x:v>
      </x:c>
    </x:row>
    <x:row r="39" ht="33" customHeight="1">
      <x:c r="A39" s="12" t="n">
        <x:v>35</x:v>
      </x:c>
      <x:c r="B39" s="15" t="n">
        <x:f>ROUND(M39*Scoring!$B$3+N39*Scoring!$B$4+O39*Scoring!$B$5+(6-P39)*Scoring!$B$6+Q39*Scoring!$B$7,3)</x:f>
        <x:v>2.032</x:v>
      </x:c>
      <x:c r="C39" s="12" t="str">
        <x:v>conference/event</x:v>
      </x:c>
      <x:c r="D39" s="12" t="str">
        <x:v>A4Q Global Testing Summit</x:v>
      </x:c>
      <x:c r="E39" s="12" t="str">
        <x:v>A4Q Global Testing Summit 2027</x:v>
      </x:c>
      <x:c r="F39" s="12" t="str">
        <x:v>online</x:v>
      </x:c>
      <x:c r="G39" s="12" t="str">
        <x:v>online</x:v>
      </x:c>
      <x:c r="H39" s="18" t="n">
        <x:v>46504.5</x:v>
      </x:c>
      <x:c r="I39" s="12" t="str">
        <x:v>open</x:v>
      </x:c>
      <x:c r="J39" s="18"/>
      <x:c r="K39" s="12" t="str">
        <x:v>Stop Looking at My Benchmarks… Get Your Own!</x:v>
      </x:c>
      <x:c r="L39" s="12" t="str"/>
      <x:c r="M39" s="12" t="n">
        <x:v>1</x:v>
      </x:c>
      <x:c r="N39" s="12" t="n">
        <x:v>2</x:v>
      </x:c>
      <x:c r="O39" s="12" t="n">
        <x:v>1.73</x:v>
      </x:c>
      <x:c r="P39" s="12" t="n">
        <x:v>2</x:v>
      </x:c>
      <x:c r="Q39" s="12" t="n">
        <x:v>3</x:v>
      </x:c>
      <x:c r="R39" s="12" t="str">
        <x:v>Remote or online participation is available.</x:v>
      </x:c>
      <x:c r="S39" s="12" t="str">
        <x:v>Standard public proposal or organizer route with no hard requirement found.</x:v>
      </x:c>
      <x:c r="T39" s="12" t="str">
        <x:v>Recurring program or sponsor/history evidence is visible; no strong comparable audience count was found.</x:v>
      </x:c>
      <x:c r="U39" s="12" t="str">
        <x:v>Worldwide testing audience, four language tracks, free access, and an open low-friction title/abstract intake</x:v>
      </x:c>
      <x:c r="V39" s="12" t="str">
        <x:v>Title and short abstract; contact, country, company, and job-title fields</x:v>
      </x:c>
      <x:c r="W39" s="12" t="str">
        <x:v>Verify duration, recording terms, and response timeline before preparing</x:v>
      </x:c>
      <x:c r="X39" s="12" t="str">
        <x:v>No CFP deadline or duration; page has a stale 2026 footer artifact | CFP deadline, session duration, speaker payment interpretation, rights, accessibility, and platform unknown; stale 2026 footer dates conflict with 2027 hero</x:v>
      </x:c>
      <x:c r="Y39" s="12" t="str">
        <x:v>https://testingsummit.com/#call-for-papers</x:v>
      </x:c>
    </x:row>
    <x:row r="40" ht="33" customHeight="1">
      <x:c r="A40" s="12" t="n">
        <x:v>36</x:v>
      </x:c>
      <x:c r="B40" s="15" t="n">
        <x:f>ROUND(M40*Scoring!$B$3+N40*Scoring!$B$4+O40*Scoring!$B$5+(6-P40)*Scoring!$B$6+Q40*Scoring!$B$7,3)</x:f>
        <x:v>2.04</x:v>
      </x:c>
      <x:c r="C40" s="12" t="str">
        <x:v>conference/event</x:v>
      </x:c>
      <x:c r="D40" s="12" t="str">
        <x:v>ALA Annual Conference and Exhibition</x:v>
      </x:c>
      <x:c r="E40" s="12" t="str">
        <x:v>ALA Annual Conference 2027</x:v>
      </x:c>
      <x:c r="F40" s="12" t="str">
        <x:v>New Orleans, United States</x:v>
      </x:c>
      <x:c r="G40" s="12" t="str">
        <x:v>in-person planned</x:v>
      </x:c>
      <x:c r="H40" s="18" t="n">
        <x:v>46562.5</x:v>
      </x:c>
      <x:c r="I40" s="12" t="str">
        <x:v>open</x:v>
      </x:c>
      <x:c r="J40" s="18" t="n">
        <x:v>46286.5</x:v>
      </x:c>
      <x:c r="K40" s="12" t="str">
        <x:v>A Skeptic's Guide to Surviving AI in Education</x:v>
      </x:c>
      <x:c r="L40" s="12" t="str">
        <x:v>evidence-learning</x:v>
      </x:c>
      <x:c r="M40" s="12" t="n">
        <x:v>1</x:v>
      </x:c>
      <x:c r="N40" s="12" t="n">
        <x:v>2</x:v>
      </x:c>
      <x:c r="O40" s="12" t="n">
        <x:v>2.16</x:v>
      </x:c>
      <x:c r="P40" s="12" t="n">
        <x:v>2</x:v>
      </x:c>
      <x:c r="Q40" s="12" t="n">
        <x:v>2</x:v>
      </x:c>
      <x:c r="R40" s="12" t="str">
        <x:v>Exact preferred city.</x:v>
      </x:c>
      <x:c r="S40" s="12" t="str">
        <x:v>Standard public proposal or organizer route with no hard requirement found.</x:v>
      </x:c>
      <x:c r="T40" s="12" t="str">
        <x:v>Recurring program or sponsor/history evidence is visible; no strong comparable audience count was found.</x:v>
      </x:c>
      <x:c r="U40" s="12" t="str">
        <x:v>Potential fit through academic libraries and AI literacy, but direct library practice needs a credible bridge</x:v>
      </x:c>
      <x:c r="V40" s="12" t="str">
        <x:v>Separate education-program form and guide; learning objectives; rubric</x:v>
      </x:c>
      <x:c r="W40" s="12" t="str">
        <x:v>Only pursue with a genuine library/faculty partnership or concrete library-facing example before 2026-09-21</x:v>
      </x:c>
      <x:c r="X40" s="12" t="str">
        <x:v>In-person; speaker pays registration/travel/lodging; library-specific experience not supplied | Talk needs an academic-library/information-literacy angle; exact formats, accessibility terms, fee, and rights language are unknown. | Weak direct library fit unless pitched for librarians/faculty partners; rates, rights, accessibility, and Dan's library experience unknown | MERGE CONFLICTS/VARIANTS — edition_label: ALA Annual Conference 2027 | ALA Annual 2027; edition_url: https://www.ala.org/conferencesevents/ | https://2027.alaannual.org/; country: United States | USA; mode: in-person planned | in-person; eligibility: Education program and poster calls are open; library relevance must be made explicit | Open call; no membership requirement stated on the reviewed page; formats_and_durations: Education programs and posters; durations in linked guides not reviewed | Education program or poster; duration in submission guide not reviewed; submission_requirements: Separate education-program form and guide; learning objectives; rubric | Separate proposal systems; learning objectives and rubric supplied; travel_support: No travel or accommodation support stated | none; speaker_costs: Presenter responsible for travel, accommodation, and registration; discounted registration offered | Presenters pay travel, lodging, and registration; exclusive presenter discount; recording_rights: May be asked to consent to recording | unknown; attendance_value: Large cross-sector library audience; exact attendance not verified | Large national library audience; verified_at: 2026-09-04T12:00:00-06:00 | 2026-09-04T23:00:00-06:00</x:v>
      </x:c>
      <x:c r="Y40" s="12" t="str">
        <x:v>https://www.ala.org/conferencesevents/ala-annual-2027-call-proposals</x:v>
      </x:c>
    </x:row>
    <x:row r="41" ht="33" customHeight="1">
      <x:c r="A41" s="12" t="n">
        <x:v>37</x:v>
      </x:c>
      <x:c r="B41" s="15" t="n">
        <x:f>ROUND(M41*Scoring!$B$3+N41*Scoring!$B$4+O41*Scoring!$B$5+(6-P41)*Scoring!$B$6+Q41*Scoring!$B$7,3)</x:f>
        <x:v>2.045</x:v>
      </x:c>
      <x:c r="C41" s="12" t="str">
        <x:v>community/meetup</x:v>
      </x:c>
      <x:c r="D41" s="12" t="str">
        <x:v>Boulder/Denver Data + AI Meetup</x:v>
      </x:c>
      <x:c r="E41" s="12" t="str">
        <x:v>Denver/Colorado</x:v>
      </x:c>
      <x:c r="F41" s="12" t="str">
        <x:v>Boulder/Denver and online</x:v>
      </x:c>
      <x:c r="G41" s="12" t="str">
        <x:v>remote/online</x:v>
      </x:c>
      <x:c r="H41" s="18"/>
      <x:c r="I41" s="12" t="str">
        <x:v>public form/contact route</x:v>
      </x:c>
      <x:c r="J41" s="18"/>
      <x:c r="K41" s="12" t="str">
        <x:v>Three Search Methods in a Fundable Trenchcoat</x:v>
      </x:c>
      <x:c r="L41" s="12" t="str"/>
      <x:c r="M41" s="12" t="n">
        <x:v>1</x:v>
      </x:c>
      <x:c r="N41" s="12" t="n">
        <x:v>2</x:v>
      </x:c>
      <x:c r="O41" s="12" t="n">
        <x:v>2.38</x:v>
      </x:c>
      <x:c r="P41" s="12" t="n">
        <x:v>3</x:v>
      </x:c>
      <x:c r="Q41" s="12" t="n">
        <x:v>3</x:v>
      </x:c>
      <x:c r="R41" s="12" t="str">
        <x:v>Remote or online participation is available.</x:v>
      </x:c>
      <x:c r="S41" s="12" t="str">
        <x:v>Researcher-rated route and format effort; 1 is easiest and 5 is hardest.</x:v>
      </x:c>
      <x:c r="T41" s="12" t="str">
        <x:v>Public organizer/platform signal of at least 781.</x:v>
      </x:c>
      <x:c r="U41" s="12" t="str">
        <x:v>Retrieval, Benchmarks, Adaptive, Parallelization, and Failure</x:v>
      </x:c>
      <x:c r="V41" s="12" t="str">
        <x:v>The page says Databricks’ community team is looking for speakers; message the organizer team. Meetup</x:v>
      </x:c>
      <x:c r="W41" s="12" t="str">
        <x:v>Review the public route and decide whether to prepare the indicated talk or demo format.</x:v>
      </x:c>
      <x:c r="X41" s="12" t="str"/>
      <x:c r="Y41" s="12" t="str">
        <x:v>https://www.meetup.com/boulder-denver-data-ai-meetup/</x:v>
      </x:c>
    </x:row>
    <x:row r="42" ht="33" customHeight="1">
      <x:c r="A42" s="12" t="n">
        <x:v>38</x:v>
      </x:c>
      <x:c r="B42" s="15" t="n">
        <x:f>ROUND(M42*Scoring!$B$3+N42*Scoring!$B$4+O42*Scoring!$B$5+(6-P42)*Scoring!$B$6+Q42*Scoring!$B$7,3)</x:f>
        <x:v>2.045</x:v>
      </x:c>
      <x:c r="C42" s="12" t="str">
        <x:v>community/meetup</x:v>
      </x:c>
      <x:c r="D42" s="12" t="str">
        <x:v>Develop Denver</x:v>
      </x:c>
      <x:c r="E42" s="12" t="str">
        <x:v>Denver/Colorado</x:v>
      </x:c>
      <x:c r="F42" s="12" t="str">
        <x:v>Denver and online</x:v>
      </x:c>
      <x:c r="G42" s="12" t="str">
        <x:v>remote/online</x:v>
      </x:c>
      <x:c r="H42" s="18"/>
      <x:c r="I42" s="12" t="str">
        <x:v>public form/contact route</x:v>
      </x:c>
      <x:c r="J42" s="18"/>
      <x:c r="K42" s="12" t="str">
        <x:v>Break the Mirror on Purpose</x:v>
      </x:c>
      <x:c r="L42" s="12" t="str"/>
      <x:c r="M42" s="12" t="n">
        <x:v>1</x:v>
      </x:c>
      <x:c r="N42" s="12" t="n">
        <x:v>2</x:v>
      </x:c>
      <x:c r="O42" s="12" t="n">
        <x:v>2.38</x:v>
      </x:c>
      <x:c r="P42" s="12" t="n">
        <x:v>3</x:v>
      </x:c>
      <x:c r="Q42" s="12" t="n">
        <x:v>3</x:v>
      </x:c>
      <x:c r="R42" s="12" t="str">
        <x:v>Remote or online participation is available.</x:v>
      </x:c>
      <x:c r="S42" s="12" t="str">
        <x:v>Researcher-rated route and format effort; 1 is easiest and 5 is hardest.</x:v>
      </x:c>
      <x:c r="T42" s="12" t="str">
        <x:v>Public organizer/platform signal of at least 654.</x:v>
      </x:c>
      <x:c r="U42" s="12" t="str">
        <x:v>Product, Judgment, Failure, Adaptive, and Education</x:v>
      </x:c>
      <x:c r="V42" s="12" t="str">
        <x:v>Talks are submitted and community-voted; use Message organizer or the public Discord on the Meetup page. No current form found.</x:v>
      </x:c>
      <x:c r="W42" s="12" t="str">
        <x:v>Review the public route and decide whether to prepare the indicated talk or demo format.</x:v>
      </x:c>
      <x:c r="X42" s="12" t="str"/>
      <x:c r="Y42" s="12" t="str">
        <x:v>https://www.meetup.com/develop-denver/</x:v>
      </x:c>
    </x:row>
    <x:row r="43" ht="33" customHeight="1">
      <x:c r="A43" s="12" t="n">
        <x:v>39</x:v>
      </x:c>
      <x:c r="B43" s="15" t="n">
        <x:f>ROUND(M43*Scoring!$B$3+N43*Scoring!$B$4+O43*Scoring!$B$5+(6-P43)*Scoring!$B$6+Q43*Scoring!$B$7,3)</x:f>
        <x:v>2.048</x:v>
      </x:c>
      <x:c r="C43" s="12" t="str">
        <x:v>conference/event</x:v>
      </x:c>
      <x:c r="D43" s="12" t="str">
        <x:v>AgenticCon</x:v>
      </x:c>
      <x:c r="E43" s="12" t="str">
        <x:v>AgenticCon 2027</x:v>
      </x:c>
      <x:c r="F43" s="12" t="str">
        <x:v>San Francisco, USA</x:v>
      </x:c>
      <x:c r="G43" s="12" t="str">
        <x:v>in-person</x:v>
      </x:c>
      <x:c r="H43" s="18" t="n">
        <x:v>46443.5</x:v>
      </x:c>
      <x:c r="I43" s="12" t="str">
        <x:v>open</x:v>
      </x:c>
      <x:c r="J43" s="18" t="n">
        <x:v>46299.5</x:v>
      </x:c>
      <x:c r="K43" s="12" t="str">
        <x:v>Three Search Methods in a Fundable Trenchcoat</x:v>
      </x:c>
      <x:c r="L43" s="12" t="str"/>
      <x:c r="M43" s="12" t="n">
        <x:v>1</x:v>
      </x:c>
      <x:c r="N43" s="12" t="n">
        <x:v>2</x:v>
      </x:c>
      <x:c r="O43" s="12" t="n">
        <x:v>2.19</x:v>
      </x:c>
      <x:c r="P43" s="12" t="n">
        <x:v>2</x:v>
      </x:c>
      <x:c r="Q43" s="12" t="n">
        <x:v>2</x:v>
      </x:c>
      <x:c r="R43" s="12" t="str">
        <x:v>Exact preferred city.</x:v>
      </x:c>
      <x:c r="S43" s="12" t="str">
        <x:v>Standard public proposal or organizer route with no hard requirement found.</x:v>
      </x:c>
      <x:c r="T43" s="12" t="str">
        <x:v>Public organizer/platform signal of at least 300.</x:v>
      </x:c>
      <x:c r="U43" s="12" t="str">
        <x:v>Current CFP explicitly requests context, capability, execution, evaluation, security, and observability.</x:v>
      </x:c>
      <x:c r="V43" s="12" t="str">
        <x:v>Title &lt;=90 characters, 250-character description, 800-character third-person abstract; no vendor pitch</x:v>
      </x:c>
      <x:c r="W43" s="12" t="str">
        <x:v>Seek organizer correction before relying on either deadline; prepare the 25-minute version meanwhile.</x:v>
      </x:c>
      <x:c r="X43" s="12" t="str">
        <x:v>FINALIST; same official page has conflicting deadlines and notifications; real incidents desired but supplied deck uses hypotheticals | Same CFP page gives both October 4 and November 1 deadlines and both October 20 and November 17 notifications; economics, rights, accessibility, travel</x:v>
      </x:c>
      <x:c r="Y43" s="12" t="str">
        <x:v>https://agenticcon.com/cfp</x:v>
      </x:c>
    </x:row>
    <x:row r="44" ht="33" customHeight="1">
      <x:c r="A44" s="12" t="n">
        <x:v>40</x:v>
      </x:c>
      <x:c r="B44" s="15" t="n">
        <x:f>ROUND(M44*Scoring!$B$3+N44*Scoring!$B$4+O44*Scoring!$B$5+(6-P44)*Scoring!$B$6+Q44*Scoring!$B$7,3)</x:f>
        <x:v>2.06</x:v>
      </x:c>
      <x:c r="C44" s="12" t="str">
        <x:v>conference/event</x:v>
      </x:c>
      <x:c r="D44" s="12" t="str">
        <x:v>Sparking Success Faculty Development Conference</x:v>
      </x:c>
      <x:c r="E44" s="12" t="str">
        <x:v>Sparking Success 2027</x:v>
      </x:c>
      <x:c r="F44" s="12" t="str">
        <x:v>New Orleans, United States</x:v>
      </x:c>
      <x:c r="G44" s="12" t="str">
        <x:v>in-person</x:v>
      </x:c>
      <x:c r="H44" s="18" t="n">
        <x:v>46393.5</x:v>
      </x:c>
      <x:c r="I44" s="12" t="str">
        <x:v>open</x:v>
      </x:c>
      <x:c r="J44" s="18" t="n">
        <x:v>46315.5</x:v>
      </x:c>
      <x:c r="K44" s="12" t="str">
        <x:v>Outsmart Your Lying, Cheating Students</x:v>
      </x:c>
      <x:c r="L44" s="12" t="str"/>
      <x:c r="M44" s="12" t="n">
        <x:v>1</x:v>
      </x:c>
      <x:c r="N44" s="12" t="n">
        <x:v>2</x:v>
      </x:c>
      <x:c r="O44" s="12" t="n">
        <x:v>2.24</x:v>
      </x:c>
      <x:c r="P44" s="12" t="n">
        <x:v>2</x:v>
      </x:c>
      <x:c r="Q44" s="12" t="n">
        <x:v>2</x:v>
      </x:c>
      <x:c r="R44" s="12" t="str">
        <x:v>Exact preferred city.</x:v>
      </x:c>
      <x:c r="S44" s="12" t="str">
        <x:v>Standard public proposal or organizer route with no hard requirement found.</x:v>
      </x:c>
      <x:c r="T44" s="12" t="str">
        <x:v>Recurring program or sponsor/history evidence is visible; no strong comparable audience count was found.</x:v>
      </x:c>
      <x:c r="U44" s="12" t="str">
        <x:v>Small faculty-development conference has clear appetite for evidence-of-learning and AI topics, with a public application route.</x:v>
      </x:c>
      <x:c r="V44" s="12" t="str">
        <x:v>Application route linked; detailed fields not captured</x:v>
      </x:c>
      <x:c r="W44" s="12" t="str">
        <x:v>Confirm external-presenter eligibility through the public conference contact before investing in the application.</x:v>
      </x:c>
      <x:c r="X44" s="12" t="str">
        <x:v>FINALIST; deadline year inferred from page context; external presenter eligibility and costs unknown | Deadline year is inferred from the 2026-27 page context; external eligibility, economics, rights, accessibility, and format duration unknown.</x:v>
      </x:c>
      <x:c r="Y44" s="12" t="str">
        <x:v>https://celt.tulane.edu/sparking-success</x:v>
      </x:c>
    </x:row>
    <x:row r="45" ht="33" customHeight="1">
      <x:c r="A45" s="12" t="n">
        <x:v>41</x:v>
      </x:c>
      <x:c r="B45" s="15" t="n">
        <x:f>ROUND(M45*Scoring!$B$3+N45*Scoring!$B$4+O45*Scoring!$B$5+(6-P45)*Scoring!$B$6+Q45*Scoring!$B$7,3)</x:f>
        <x:v>2.068</x:v>
      </x:c>
      <x:c r="C45" s="12" t="str">
        <x:v>conference/event</x:v>
      </x:c>
      <x:c r="D45" s="12" t="str">
        <x:v>UXDX</x:v>
      </x:c>
      <x:c r="E45" s="12" t="str">
        <x:v>UXDX New York 2027</x:v>
      </x:c>
      <x:c r="F45" s="12" t="str">
        <x:v>New York, United States</x:v>
      </x:c>
      <x:c r="G45" s="12" t="str">
        <x:v>hybrid</x:v>
      </x:c>
      <x:c r="H45" s="18" t="n">
        <x:v>46517.5</x:v>
      </x:c>
      <x:c r="I45" s="12" t="str">
        <x:v>open</x:v>
      </x:c>
      <x:c r="J45" s="18" t="n">
        <x:v>46366.5</x:v>
      </x:c>
      <x:c r="K45" s="12" t="str">
        <x:v>Break the Mirror on Purpose</x:v>
      </x:c>
      <x:c r="L45" s="12" t="str">
        <x:v>judgment</x:v>
      </x:c>
      <x:c r="M45" s="12" t="n">
        <x:v>1</x:v>
      </x:c>
      <x:c r="N45" s="12" t="n">
        <x:v>2</x:v>
      </x:c>
      <x:c r="O45" s="12" t="n">
        <x:v>1.87</x:v>
      </x:c>
      <x:c r="P45" s="12" t="n">
        <x:v>2</x:v>
      </x:c>
      <x:c r="Q45" s="12" t="n">
        <x:v>3</x:v>
      </x:c>
      <x:c r="R45" s="12" t="str">
        <x:v>Exact preferred city.</x:v>
      </x:c>
      <x:c r="S45" s="12" t="str">
        <x:v>Standard public proposal or organizer route with no hard requirement found.</x:v>
      </x:c>
      <x:c r="T45" s="12" t="str">
        <x:v>Recurring program or sponsor/history evidence is visible; no strong comparable audience count was found.</x:v>
      </x:c>
      <x:c r="U45" s="12" t="str">
        <x:v>The event language nearly mirrors the talk thesis and current agenda contains direct topic precedent.</x:v>
      </x:c>
      <x:c r="V45" s="12" t="str">
        <x:v>Story of real change, title, description, decisions/tradeoffs/failures, takeaways, job/company/location.</x:v>
      </x:c>
      <x:c r="W45" s="12" t="str">
        <x:v>Only target main stage if Dan has a truthful qualifying case; otherwise use the always-open local stage.</x:v>
      </x:c>
      <x:c r="X45" s="12" t="str">
        <x:v>Main stage expects a real in-house case with outcomes; current synthetic proposed design may not qualify. | Dan's in-house seniority and qualifying real case are unknown; economics, rights and accessibility unknown.</x:v>
      </x:c>
      <x:c r="Y45" s="12" t="str">
        <x:v>https://uxdx.com/speak/</x:v>
      </x:c>
    </x:row>
    <x:row r="46" ht="33" customHeight="1">
      <x:c r="A46" s="12" t="n">
        <x:v>42</x:v>
      </x:c>
      <x:c r="B46" s="15" t="n">
        <x:f>ROUND(M46*Scoring!$B$3+N46*Scoring!$B$4+O46*Scoring!$B$5+(6-P46)*Scoring!$B$6+Q46*Scoring!$B$7,3)</x:f>
        <x:v>2.078</x:v>
      </x:c>
      <x:c r="C46" s="12" t="str">
        <x:v>conference/event</x:v>
      </x:c>
      <x:c r="D46" s="12" t="str">
        <x:v>Hi AI!</x:v>
      </x:c>
      <x:c r="E46" s="12" t="str">
        <x:v>Hi AI! 2027</x:v>
      </x:c>
      <x:c r="F46" s="12" t="str">
        <x:v>virtual</x:v>
      </x:c>
      <x:c r="G46" s="12" t="str">
        <x:v>virtual</x:v>
      </x:c>
      <x:c r="H46" s="18" t="n">
        <x:v>46401.5</x:v>
      </x:c>
      <x:c r="I46" s="12" t="str">
        <x:v>open</x:v>
      </x:c>
      <x:c r="J46" s="18" t="n">
        <x:v>46307.5</x:v>
      </x:c>
      <x:c r="K46" s="12" t="str">
        <x:v>A Skeptic's Guide to Surviving AI in Education</x:v>
      </x:c>
      <x:c r="L46" s="12" t="str"/>
      <x:c r="M46" s="12" t="n">
        <x:v>1</x:v>
      </x:c>
      <x:c r="N46" s="12" t="n">
        <x:v>2</x:v>
      </x:c>
      <x:c r="O46" s="12" t="n">
        <x:v>2.31</x:v>
      </x:c>
      <x:c r="P46" s="12" t="n">
        <x:v>2</x:v>
      </x:c>
      <x:c r="Q46" s="12" t="n">
        <x:v>2</x:v>
      </x:c>
      <x:c r="R46" s="12" t="str">
        <x:v>Remote or online participation is available.</x:v>
      </x:c>
      <x:c r="S46" s="12" t="str">
        <x:v>Standard public proposal or organizer route with no hard requirement found.</x:v>
      </x:c>
      <x:c r="T46" s="12" t="str">
        <x:v>Recurring program or sponsor/history evidence is visible; no strong comparable audience count was found.</x:v>
      </x:c>
      <x:c r="U46" s="12" t="str">
        <x:v>Focused AI event explicitly solicits AI assessment practices, literacy, ethics, policy, personalization, and practical experience</x:v>
      </x:c>
      <x:c r="V46" s="12" t="str">
        <x:v>Title max 10 words; description max 350 words; target audience; actionable learning objectives</x:v>
      </x:c>
      <x:c r="W46" s="12" t="str">
        <x:v>Confirm Dan can credibly supply K-12 examples; then adapt title to 10 words and description to 350 words by 2026-10-12</x:v>
      </x:c>
      <x:c r="X46" s="12" t="str">
        <x:v>K-12 grounding and real-world experience are expected; Dan's school-sector credentials are unknown; economics not stated | Speaker cost, compensation, rights, accessibility, and whether an out-of-state non-school practitioner is competitive remain unknown</x:v>
      </x:c>
      <x:c r="Y46" s="12" t="str">
        <x:v>https://www.ltcillinois.org/hiai/rfp/</x:v>
      </x:c>
    </x:row>
    <x:row r="47" ht="33" customHeight="1">
      <x:c r="A47" s="12" t="n">
        <x:v>43</x:v>
      </x:c>
      <x:c r="B47" s="15" t="n">
        <x:f>ROUND(M47*Scoring!$B$3+N47*Scoring!$B$4+O47*Scoring!$B$5+(6-P47)*Scoring!$B$6+Q47*Scoring!$B$7,3)</x:f>
        <x:v>2.095</x:v>
      </x:c>
      <x:c r="C47" s="12" t="str">
        <x:v>community/meetup</x:v>
      </x:c>
      <x:c r="D47" s="12" t="str">
        <x:v>DevOpsDays Rockies</x:v>
      </x:c>
      <x:c r="E47" s="12" t="str">
        <x:v>Denver/Colorado</x:v>
      </x:c>
      <x:c r="F47" s="12" t="str">
        <x:v>Denver; in person</x:v>
      </x:c>
      <x:c r="G47" s="12" t="str">
        <x:v>in-person</x:v>
      </x:c>
      <x:c r="H47" s="18" t="n">
        <x:v>46287.5</x:v>
      </x:c>
      <x:c r="I47" s="12" t="str">
        <x:v>public form/contact route</x:v>
      </x:c>
      <x:c r="J47" s="18"/>
      <x:c r="K47" s="12" t="str">
        <x:v>The Pager Cried Wolf</x:v>
      </x:c>
      <x:c r="L47" s="12" t="str"/>
      <x:c r="M47" s="12" t="n">
        <x:v>1</x:v>
      </x:c>
      <x:c r="N47" s="12" t="n">
        <x:v>3</x:v>
      </x:c>
      <x:c r="O47" s="12" t="n">
        <x:v>2.38</x:v>
      </x:c>
      <x:c r="P47" s="12" t="n">
        <x:v>4</x:v>
      </x:c>
      <x:c r="Q47" s="12" t="n">
        <x:v>3</x:v>
      </x:c>
      <x:c r="R47" s="12" t="str">
        <x:v>Exact preferred city.</x:v>
      </x:c>
      <x:c r="S47" s="12" t="str">
        <x:v>Researcher-rated route and format effort; 1 is easiest and 5 is hardest.</x:v>
      </x:c>
      <x:c r="T47" s="12" t="str">
        <x:v>Public organizer/platform signal of at least 2,245.</x:v>
      </x:c>
      <x:c r="U47" s="12" t="str">
        <x:v>Failure, Adaptive, Benchmarks, Parallelization, Product, and Judgment</x:v>
      </x:c>
      <x:c r="V47" s="12" t="str">
        <x:v>2026 CFP is closed. Monitor the official community site and Pretalx CFP archive; organizers explicitly offered proposal help and local writing meetups</x:v>
      </x:c>
      <x:c r="W47" s="12" t="str">
        <x:v>Review the public route and decide whether to prepare the indicated talk or demo format.</x:v>
      </x:c>
      <x:c r="X47" s="12" t="str"/>
      <x:c r="Y47" s="12" t="str">
        <x:v>https://denverdevops.org/</x:v>
      </x:c>
    </x:row>
    <x:row r="48" ht="33" customHeight="1">
      <x:c r="A48" s="12" t="n">
        <x:v>44</x:v>
      </x:c>
      <x:c r="B48" s="15" t="n">
        <x:f>ROUND(M48*Scoring!$B$3+N48*Scoring!$B$4+O48*Scoring!$B$5+(6-P48)*Scoring!$B$6+Q48*Scoring!$B$7,3)</x:f>
        <x:v>2.095</x:v>
      </x:c>
      <x:c r="C48" s="12" t="str">
        <x:v>community/meetup</x:v>
      </x:c>
      <x:c r="D48" s="12" t="str">
        <x:v>ProductTank Chicago</x:v>
      </x:c>
      <x:c r="E48" s="12" t="str">
        <x:v>Preferred US cities</x:v>
      </x:c>
      <x:c r="F48" s="12" t="str">
        <x:v>Chicago; in person</x:v>
      </x:c>
      <x:c r="G48" s="12" t="str">
        <x:v>in-person</x:v>
      </x:c>
      <x:c r="H48" s="18"/>
      <x:c r="I48" s="12" t="str">
        <x:v>public form/contact route</x:v>
      </x:c>
      <x:c r="J48" s="18"/>
      <x:c r="K48" s="12" t="str">
        <x:v>Break the Mirror on Purpose</x:v>
      </x:c>
      <x:c r="L48" s="12" t="str"/>
      <x:c r="M48" s="12" t="n">
        <x:v>1</x:v>
      </x:c>
      <x:c r="N48" s="12" t="n">
        <x:v>3</x:v>
      </x:c>
      <x:c r="O48" s="12" t="n">
        <x:v>2.38</x:v>
      </x:c>
      <x:c r="P48" s="12" t="n">
        <x:v>4</x:v>
      </x:c>
      <x:c r="Q48" s="12" t="n">
        <x:v>3</x:v>
      </x:c>
      <x:c r="R48" s="12" t="str">
        <x:v>Exact preferred city.</x:v>
      </x:c>
      <x:c r="S48" s="12" t="str">
        <x:v>Researcher-rated route and format effort; 1 is easiest and 5 is hardest.</x:v>
      </x:c>
      <x:c r="T48" s="12" t="str">
        <x:v>Public organizer/platform signal of at least 4,881.</x:v>
      </x:c>
      <x:c r="U48" s="12" t="str">
        <x:v>Product, Judgment, Failure, Free tier, Adaptive, and Benchmarks</x:v>
      </x:c>
      <x:c r="V48" s="12" t="str">
        <x:v>Join Mind the Product's public speaker directory or message the local organizers. Speaker route · chapter</x:v>
      </x:c>
      <x:c r="W48" s="12" t="str">
        <x:v>Review the public route and decide whether to prepare the indicated talk or demo format.</x:v>
      </x:c>
      <x:c r="X48" s="12" t="str">
        <x:v>Current calendar, local review process, duration, and speaker economics.</x:v>
      </x:c>
      <x:c r="Y48" s="12" t="str">
        <x:v>https://www.mindtheproduct.com/producttank/</x:v>
      </x:c>
    </x:row>
    <x:row r="49" ht="33" customHeight="1">
      <x:c r="A49" s="12" t="n">
        <x:v>45</x:v>
      </x:c>
      <x:c r="B49" s="15" t="n">
        <x:f>ROUND(M49*Scoring!$B$3+N49*Scoring!$B$4+O49*Scoring!$B$5+(6-P49)*Scoring!$B$6+Q49*Scoring!$B$7,3)</x:f>
        <x:v>2.095</x:v>
      </x:c>
      <x:c r="C49" s="12" t="str">
        <x:v>community/meetup</x:v>
      </x:c>
      <x:c r="D49" s="12" t="str">
        <x:v>ProductTank Los Angeles</x:v>
      </x:c>
      <x:c r="E49" s="12" t="str">
        <x:v>Preferred US cities</x:v>
      </x:c>
      <x:c r="F49" s="12" t="str">
        <x:v>Los Angeles/Pasadena; in person</x:v>
      </x:c>
      <x:c r="G49" s="12" t="str">
        <x:v>in-person</x:v>
      </x:c>
      <x:c r="H49" s="18" t="n">
        <x:v>46274.5</x:v>
      </x:c>
      <x:c r="I49" s="12" t="str">
        <x:v>public form/contact route</x:v>
      </x:c>
      <x:c r="J49" s="18"/>
      <x:c r="K49" s="12" t="str">
        <x:v>Break the Mirror on Purpose</x:v>
      </x:c>
      <x:c r="L49" s="12" t="str"/>
      <x:c r="M49" s="12" t="n">
        <x:v>1</x:v>
      </x:c>
      <x:c r="N49" s="12" t="n">
        <x:v>3</x:v>
      </x:c>
      <x:c r="O49" s="12" t="n">
        <x:v>2.38</x:v>
      </x:c>
      <x:c r="P49" s="12" t="n">
        <x:v>4</x:v>
      </x:c>
      <x:c r="Q49" s="12" t="n">
        <x:v>3</x:v>
      </x:c>
      <x:c r="R49" s="12" t="str">
        <x:v>Exact preferred city.</x:v>
      </x:c>
      <x:c r="S49" s="12" t="str">
        <x:v>Researcher-rated route and format effort; 1 is easiest and 5 is hardest.</x:v>
      </x:c>
      <x:c r="T49" s="12" t="str">
        <x:v>Public organizer/platform signal of at least 2,552.</x:v>
      </x:c>
      <x:c r="U49" s="12" t="str">
        <x:v>Product, Judgment, Failure, Free tier, Adaptive, and Benchmarks</x:v>
      </x:c>
      <x:c r="V49" s="12" t="str">
        <x:v>Join the public ProductTank speaker directory; the local Meetup also supports organizer messaging. Speaker route · chapter</x:v>
      </x:c>
      <x:c r="W49" s="12" t="str">
        <x:v>Review the public route and decide whether to prepare the indicated talk or demo format.</x:v>
      </x:c>
      <x:c r="X49" s="12" t="str">
        <x:v>Local speaker review cadence, slot length, economics, and whether the September program is already final.</x:v>
      </x:c>
      <x:c r="Y49" s="12" t="str">
        <x:v>https://www.mindtheproduct.com/producttank/</x:v>
      </x:c>
    </x:row>
    <x:row r="50" ht="33" customHeight="1">
      <x:c r="A50" s="12" t="n">
        <x:v>46</x:v>
      </x:c>
      <x:c r="B50" s="15" t="n">
        <x:f>ROUND(M50*Scoring!$B$3+N50*Scoring!$B$4+O50*Scoring!$B$5+(6-P50)*Scoring!$B$6+Q50*Scoring!$B$7,3)</x:f>
        <x:v>2.137</x:v>
      </x:c>
      <x:c r="C50" s="12" t="str">
        <x:v>conference/event</x:v>
      </x:c>
      <x:c r="D50" s="12" t="str">
        <x:v>AI Agent Event</x:v>
      </x:c>
      <x:c r="E50" s="12" t="str">
        <x:v>AI Agent Event 2027</x:v>
      </x:c>
      <x:c r="F50" s="12" t="str">
        <x:v>Fort Lauderdale, United States</x:v>
      </x:c>
      <x:c r="G50" s="12" t="str">
        <x:v>in-person</x:v>
      </x:c>
      <x:c r="H50" s="18" t="n">
        <x:v>46427.5</x:v>
      </x:c>
      <x:c r="I50" s="12" t="str">
        <x:v>open</x:v>
      </x:c>
      <x:c r="J50" s="18" t="n">
        <x:v>46274.5</x:v>
      </x:c>
      <x:c r="K50" s="12" t="str">
        <x:v>Stop Looking at My Benchmarks… Get Your Own!</x:v>
      </x:c>
      <x:c r="L50" s="12" t="str">
        <x:v>adaptive-systems</x:v>
      </x:c>
      <x:c r="M50" s="12" t="n">
        <x:v>2</x:v>
      </x:c>
      <x:c r="N50" s="12" t="n">
        <x:v>4</x:v>
      </x:c>
      <x:c r="O50" s="12" t="n">
        <x:v>1.35</x:v>
      </x:c>
      <x:c r="P50" s="12" t="n">
        <x:v>4</x:v>
      </x:c>
      <x:c r="Q50" s="12" t="n">
        <x:v>1</x:v>
      </x:c>
      <x:c r="R50" s="12" t="str">
        <x:v>Near a preferred city or within the Denver/Front Range area.</x:v>
      </x:c>
      <x:c r="S50" s="12" t="str">
        <x:v>Requires recordings, membership/co-presenter status, real evidence, a demo, or substantial extra material.</x:v>
      </x:c>
      <x:c r="T50" s="12" t="str">
        <x:v>Established recurring conference or community series with visible program history.</x:v>
      </x:c>
      <x:c r="U50" s="12" t="str">
        <x:v>Official CFP explicitly includes testing/evaluation, monitoring/optimization, performance benchmarking, and cost optimization</x:v>
      </x:c>
      <x:c r="V50" s="12" t="str">
        <x:v>Educational, noncommercial, non-self-promotional; headshot and bio; claims new concepts unavailable elsewhere</x:v>
      </x:c>
      <x:c r="W50" s="12" t="str">
        <x:v>Recheck deadline and novelty terms immediately; build system-level agent variant</x:v>
      </x:c>
      <x:c r="X50" s="12" t="str">
        <x:v>Deadline is urgent; novel-concepts clause and commercial adjacency need review; duration unknown | Travel/hotel, honorarium, accessibility, recording rights, session duration, and meaning/enforceability of novelty clause unknown. | Deadline time zone, travel, compensation, rights, accessibility, and exact durations unknown | Deadline year inferred from 2027 page context; talk duration, travel, honorarium, rights, accessibility, and Dan's qualifying deployment experience | MERGE CONFLICTS/VARIANTS — date_status: exact | confirmed; country: United States | USA; eligibility: Enterprise practitioners, AI developers, innovators, researchers, solution providers, and leaders with real-world agent experience | Editorial, non-commercial material; novel concepts clause | Seeks enterprise practitioners, developers, researchers, providers, and leaders with real deployment experience; formats_and_durations: Case study, technical session, workshop, or panel; duration not stated | Case study; technical session; workshop; panel; durations unknown | unknown; submission_requirements: Educational, noncommercial, non-self-promotional; headshot and bio; claims new concepts unavailable elsewhere | Title, abstract, biography, and committee review | Headshot, full bio, title, and description; strict no-commercialism policy; compensation: Complimentary all-access speaker pass stated as USD 1,799 value | Complimentary all-access pass | unknown; speaker_costs: No mandatory registration stated for selected speakers | No pay-to-speak found | Complimentary all-access speaker pass; attendance_value: Pass advertised at USD 1,799 value | 1000 | Organizer claims 1,000 attendees; verified_at: 2026-09-04T12:00:00-06:00 | 2026-09-04T23:30:00-06:00 | 2026-09-04T23:00:00-06:00</x:v>
      </x:c>
      <x:c r="Y50" s="12" t="str">
        <x:v>https://www.aiagentevent.com/east/call-for-speakers.aspx</x:v>
      </x:c>
    </x:row>
    <x:row r="51" ht="33" customHeight="1">
      <x:c r="A51" s="12" t="n">
        <x:v>47</x:v>
      </x:c>
      <x:c r="B51" s="15" t="n">
        <x:f>ROUND(M51*Scoring!$B$3+N51*Scoring!$B$4+O51*Scoring!$B$5+(6-P51)*Scoring!$B$6+Q51*Scoring!$B$7,3)</x:f>
        <x:v>2.145</x:v>
      </x:c>
      <x:c r="C51" s="12" t="str">
        <x:v>community/meetup</x:v>
      </x:c>
      <x:c r="D51" s="12" t="str">
        <x:v>Boulder Ruby</x:v>
      </x:c>
      <x:c r="E51" s="12" t="str">
        <x:v>Denver/Colorado</x:v>
      </x:c>
      <x:c r="F51" s="12" t="str">
        <x:v>Boulder; in person or remote</x:v>
      </x:c>
      <x:c r="G51" s="12" t="str">
        <x:v>remote/online</x:v>
      </x:c>
      <x:c r="H51" s="18"/>
      <x:c r="I51" s="12" t="str">
        <x:v>public form/contact route</x:v>
      </x:c>
      <x:c r="J51" s="18"/>
      <x:c r="K51" s="12" t="str">
        <x:v>Break the Mirror on Purpose</x:v>
      </x:c>
      <x:c r="L51" s="12" t="str"/>
      <x:c r="M51" s="12" t="n">
        <x:v>1</x:v>
      </x:c>
      <x:c r="N51" s="12" t="n">
        <x:v>1</x:v>
      </x:c>
      <x:c r="O51" s="12" t="n">
        <x:v>2.38</x:v>
      </x:c>
      <x:c r="P51" s="12" t="n">
        <x:v>1</x:v>
      </x:c>
      <x:c r="Q51" s="12" t="n">
        <x:v>3</x:v>
      </x:c>
      <x:c r="R51" s="12" t="str">
        <x:v>Remote or online participation is available.</x:v>
      </x:c>
      <x:c r="S51" s="12" t="str">
        <x:v>Researcher-rated route and format effort; 1 is easiest and 5 is hardest.</x:v>
      </x:c>
      <x:c r="T51" s="12" t="str">
        <x:v>Little public popularity evidence beyond the event or route itself.</x:v>
      </x:c>
      <x:c r="U51" s="12" t="str">
        <x:v>Product, Judgment, Failure, Parallelization, Adaptive; needs a software-development or Ruby-adjacent framing</x:v>
      </x:c>
      <x:c r="V51" s="12" t="str">
        <x:v>The group says it is always looking for speakers and publishes a direct email/contact route. Presenting details</x:v>
      </x:c>
      <x:c r="W51" s="12" t="str">
        <x:v>Review the public route and decide whether to prepare the indicated talk or demo format.</x:v>
      </x:c>
      <x:c r="X51" s="12" t="str"/>
      <x:c r="Y51" s="12" t="str">
        <x:v>https://boulder-ruby.org/#presenting</x:v>
      </x:c>
    </x:row>
    <x:row r="52" ht="33" customHeight="1">
      <x:c r="A52" s="12" t="n">
        <x:v>48</x:v>
      </x:c>
      <x:c r="B52" s="15" t="n">
        <x:f>ROUND(M52*Scoring!$B$3+N52*Scoring!$B$4+O52*Scoring!$B$5+(6-P52)*Scoring!$B$6+Q52*Scoring!$B$7,3)</x:f>
        <x:v>2.145</x:v>
      </x:c>
      <x:c r="C52" s="12" t="str">
        <x:v>community/meetup</x:v>
      </x:c>
      <x:c r="D52" s="12" t="str">
        <x:v>AI Tinkerers Miami</x:v>
      </x:c>
      <x:c r="E52" s="12" t="str">
        <x:v>Preferred US cities</x:v>
      </x:c>
      <x:c r="F52" s="12" t="str">
        <x:v>Miami; in person</x:v>
      </x:c>
      <x:c r="G52" s="12" t="str">
        <x:v>in-person</x:v>
      </x:c>
      <x:c r="H52" s="18"/>
      <x:c r="I52" s="12" t="str">
        <x:v>public form/contact route</x:v>
      </x:c>
      <x:c r="J52" s="18"/>
      <x:c r="K52" s="12" t="str">
        <x:v>Conjure Exactly Enough</x:v>
      </x:c>
      <x:c r="L52" s="12" t="str"/>
      <x:c r="M52" s="12" t="n">
        <x:v>1</x:v>
      </x:c>
      <x:c r="N52" s="12" t="n">
        <x:v>4</x:v>
      </x:c>
      <x:c r="O52" s="12" t="n">
        <x:v>2.38</x:v>
      </x:c>
      <x:c r="P52" s="12" t="n">
        <x:v>5</x:v>
      </x:c>
      <x:c r="Q52" s="12" t="n">
        <x:v>3</x:v>
      </x:c>
      <x:c r="R52" s="12" t="str">
        <x:v>Exact preferred city.</x:v>
      </x:c>
      <x:c r="S52" s="12" t="str">
        <x:v>Researcher-rated route and format effort; 1 is easiest and 5 is hardest.</x:v>
      </x:c>
      <x:c r="T52" s="12" t="str">
        <x:v>Public organizer/platform signal of at least 125,000 members, registrations, attendees, or reach.</x:v>
      </x:c>
      <x:c r="U52" s="12" t="str">
        <x:v>Adaptive, Retrieval, Benchmarks, Parallelization, and Failure as live demos</x:v>
      </x:c>
      <x:c r="V52" s="12" t="str">
        <x:v>Use the event-specific demo proposal when exposed. The 2026 kickoff requested approximately five-minute live implementations, no deck, with one architecture diagram allowed. Miami chapter · proposal example</x:v>
      </x:c>
      <x:c r="W52" s="12" t="str">
        <x:v>Review the public route and decide whether to prepare the indicated talk or demo format.</x:v>
      </x:c>
      <x:c r="X52" s="12" t="str">
        <x:v>Chapter cadence, next date, current intake, acceptance timing, and travel-speaker policy.</x:v>
      </x:c>
      <x:c r="Y52" s="12" t="str">
        <x:v>https://miami.aitinkerers.org/</x:v>
      </x:c>
    </x:row>
    <x:row r="53" ht="33" customHeight="1">
      <x:c r="A53" s="12" t="n">
        <x:v>49</x:v>
      </x:c>
      <x:c r="B53" s="15" t="n">
        <x:f>ROUND(M53*Scoring!$B$3+N53*Scoring!$B$4+O53*Scoring!$B$5+(6-P53)*Scoring!$B$6+Q53*Scoring!$B$7,3)</x:f>
        <x:v>2.145</x:v>
      </x:c>
      <x:c r="C53" s="12" t="str">
        <x:v>community/meetup</x:v>
      </x:c>
      <x:c r="D53" s="12" t="str">
        <x:v>DataTalks.Club</x:v>
      </x:c>
      <x:c r="E53" s="12" t="str">
        <x:v>Overseas from March 2027</x:v>
      </x:c>
      <x:c r="F53" s="12" t="str">
        <x:v>Global remote</x:v>
      </x:c>
      <x:c r="G53" s="12" t="str">
        <x:v>remote/online</x:v>
      </x:c>
      <x:c r="H53" s="18"/>
      <x:c r="I53" s="12" t="str">
        <x:v>public form/contact route</x:v>
      </x:c>
      <x:c r="J53" s="18"/>
      <x:c r="K53" s="12" t="str">
        <x:v>Three Search Methods in a Fundable Trenchcoat</x:v>
      </x:c>
      <x:c r="L53" s="12" t="str"/>
      <x:c r="M53" s="12" t="n">
        <x:v>1</x:v>
      </x:c>
      <x:c r="N53" s="12" t="n">
        <x:v>4</x:v>
      </x:c>
      <x:c r="O53" s="12" t="n">
        <x:v>2.38</x:v>
      </x:c>
      <x:c r="P53" s="12" t="n">
        <x:v>5</x:v>
      </x:c>
      <x:c r="Q53" s="12" t="n">
        <x:v>3</x:v>
      </x:c>
      <x:c r="R53" s="12" t="str">
        <x:v>Remote or online participation is available.</x:v>
      </x:c>
      <x:c r="S53" s="12" t="str">
        <x:v>Researcher-rated route and format effort; 1 is easiest and 5 is hardest.</x:v>
      </x:c>
      <x:c r="T53" s="12" t="str">
        <x:v>Public organizer/platform signal of at least 94,000 members, registrations, attendees, or reach.</x:v>
      </x:c>
      <x:c r="U53" s="12" t="str">
        <x:v>RT, BM, AS, FI, PA, JU</x:v>
      </x:c>
      <x:c r="V53" s="12" t="str">
        <x:v>Public community/contact channels; webinar, workshop and podcast formats are documented, but no standing speaker form was found</x:v>
      </x:c>
      <x:c r="W53" s="12" t="str">
        <x:v>Review the public route and decide whether to prepare the indicated talk or demo format.</x:v>
      </x:c>
      <x:c r="X53" s="12" t="str">
        <x:v>Route is contact-based rather than a verified open CFP; selection, duration and compensation unknown. community, formats, GitHub community profile</x:v>
      </x:c>
      <x:c r="Y53" s="12" t="str">
        <x:v>https://datatalks.club/</x:v>
      </x:c>
    </x:row>
    <x:row r="54" ht="33" customHeight="1">
      <x:c r="A54" s="12" t="n">
        <x:v>50</x:v>
      </x:c>
      <x:c r="B54" s="15" t="n">
        <x:f>ROUND(M54*Scoring!$B$3+N54*Scoring!$B$4+O54*Scoring!$B$5+(6-P54)*Scoring!$B$6+Q54*Scoring!$B$7,3)</x:f>
        <x:v>2.16</x:v>
      </x:c>
      <x:c r="C54" s="12" t="str">
        <x:v>conference/event</x:v>
      </x:c>
      <x:c r="D54" s="12" t="str">
        <x:v>PlatformCon Live Day San Francisco</x:v>
      </x:c>
      <x:c r="E54" s="12" t="str">
        <x:v>PlatformCon Live Day San Francisco 2027</x:v>
      </x:c>
      <x:c r="F54" s="12" t="str">
        <x:v>San Francisco, United States</x:v>
      </x:c>
      <x:c r="G54" s="12" t="str">
        <x:v>in-person</x:v>
      </x:c>
      <x:c r="H54" s="18" t="n">
        <x:v>46442.5</x:v>
      </x:c>
      <x:c r="I54" s="12" t="str">
        <x:v>open</x:v>
      </x:c>
      <x:c r="J54" s="18" t="n">
        <x:v>46299.5</x:v>
      </x:c>
      <x:c r="K54" s="12" t="str">
        <x:v>Compute, Please (and a Receipt)</x:v>
      </x:c>
      <x:c r="L54" s="12" t="str">
        <x:v>failure-improvement</x:v>
      </x:c>
      <x:c r="M54" s="12" t="n">
        <x:v>1</x:v>
      </x:c>
      <x:c r="N54" s="12" t="n">
        <x:v>5</x:v>
      </x:c>
      <x:c r="O54" s="12" t="n">
        <x:v>1.44</x:v>
      </x:c>
      <x:c r="P54" s="12" t="n">
        <x:v>4</x:v>
      </x:c>
      <x:c r="Q54" s="12" t="n">
        <x:v>2</x:v>
      </x:c>
      <x:c r="R54" s="12" t="str">
        <x:v>Exact preferred city.</x:v>
      </x:c>
      <x:c r="S54" s="12" t="str">
        <x:v>Hard credential, publication, domain, or firsthand-evidence requirement.</x:v>
      </x:c>
      <x:c r="T54" s="12" t="str">
        <x:v>Established recurring conference or community series with visible program history.</x:v>
      </x:c>
      <x:c r="U54" s="12" t="str">
        <x:v>Platform audience and archived agent/platform sessions are excellent, but the named-production-case requirement may block the supplied conceptual talk.</x:v>
      </x:c>
      <x:c r="V54" s="12" t="str">
        <x:v>Case-study proposal with concrete implementation and outcomes.</x:v>
      </x:c>
      <x:c r="W54" s="12" t="str">
        <x:v>Only proceed if Dan can document the required implementation and outcomes; otherwise retain as a monitored fit.</x:v>
      </x:c>
      <x:c r="X54" s="12" t="str">
        <x:v>Requires a named organization, real implementation and outcomes; no travel expenses; official deadline times conflict. | Dan's ability to name an organization and evidence outcomes is unknown and may be a hard barrier. Rights and accessibility unknown. Official pages conflict on deadline time/timezone. | CFP form/status/deadline, formats, economics, rights; page has a CFP label but that alone does not prove open | Deadline says 12:59 PM EST despite San Francisco venue; speaker economics, rights, accessibility, and travel unknown | MERGE CONFLICTS/VARIANTS — edition_label: PlatformCon Live Day San Francisco 2027 | PlatformCon San Francisco 2027; end_date: 2027-02-24 | 2027-02-25; country: United States | USA; cfp_url: https://sessionize.com/platformcon-live-day-san-francisco/ | https://sanfrancisco.platformcon.com/ | https://sanfrancisco.platformcon.com/cfp; guidelines_url: https://sanfrancisco.platformcon.com/cfp | https://sanfrancisco.platformcon.com/; cfp_status: open | unknown; eligibility: Practitioner-only; proposals should describe real implementations, named organizations and outcomes; multiple proposals allowed. | unknown; formats_and_durations: 25-minute talk | unknown; submission_requirements: Case-study proposal with concrete implementation and outcomes. | unknown | Practical enterprise platform story; further form fields not extracted; compensation: No honorarium stated. | unknown; travel_support: No travel expenses covered. | unknown; attendance_value: 300+ advertised | 300+ displayed on event page without a fully extracted unit | 300 practitioners claimed; verified_at: 2026-09-04T12:00:00-06:00 | 2026-09-05T00:05:00-06:00</x:v>
      </x:c>
      <x:c r="Y54" s="12" t="str">
        <x:v>https://sessionize.com/platformcon-live-day-san-francisco/</x:v>
      </x:c>
    </x:row>
    <x:row r="55" ht="33" customHeight="1">
      <x:c r="A55" s="12" t="n">
        <x:v>51</x:v>
      </x:c>
      <x:c r="B55" s="15" t="n">
        <x:f>ROUND(M55*Scoring!$B$3+N55*Scoring!$B$4+O55*Scoring!$B$5+(6-P55)*Scoring!$B$6+Q55*Scoring!$B$7,3)</x:f>
        <x:v>2.178</x:v>
      </x:c>
      <x:c r="C55" s="12" t="str">
        <x:v>conference/event</x:v>
      </x:c>
      <x:c r="D55" s="12" t="str">
        <x:v>DevOpsDays Los Angeles</x:v>
      </x:c>
      <x:c r="E55" s="12" t="str">
        <x:v>DevOpsDays Los Angeles 2027</x:v>
      </x:c>
      <x:c r="F55" s="12" t="str">
        <x:v>Pasadena, USA</x:v>
      </x:c>
      <x:c r="G55" s="12" t="str">
        <x:v>in-person</x:v>
      </x:c>
      <x:c r="H55" s="18" t="n">
        <x:v>46479.5</x:v>
      </x:c>
      <x:c r="I55" s="12" t="str">
        <x:v>conflicting-official-pages</x:v>
      </x:c>
      <x:c r="J55" s="18" t="n">
        <x:v>46327.5</x:v>
      </x:c>
      <x:c r="K55" s="12" t="str">
        <x:v>Buy Me a Free Tier</x:v>
      </x:c>
      <x:c r="L55" s="12" t="str">
        <x:v>retrieval</x:v>
      </x:c>
      <x:c r="M55" s="12" t="n">
        <x:v>2</x:v>
      </x:c>
      <x:c r="N55" s="12" t="n">
        <x:v>2</x:v>
      </x:c>
      <x:c r="O55" s="12" t="n">
        <x:v>2.31</x:v>
      </x:c>
      <x:c r="P55" s="12" t="n">
        <x:v>4</x:v>
      </x:c>
      <x:c r="Q55" s="12" t="n">
        <x:v>3</x:v>
      </x:c>
      <x:c r="R55" s="12" t="str">
        <x:v>Near a preferred city or within the Denver/Front Range area.</x:v>
      </x:c>
      <x:c r="S55" s="12" t="str">
        <x:v>Standard public proposal or organizer route with no hard requirement found.</x:v>
      </x:c>
      <x:c r="T55" s="12" t="str">
        <x:v>Established recurring conference or community series with visible program history.</x:v>
      </x:c>
      <x:c r="U55" s="12" t="str">
        <x:v>The indexed current call explicitly named token economics and FinOps; the rendered local page retains platform/reliability fit.</x:v>
      </x:c>
      <x:c r="V55" s="12" t="str">
        <x:v>Title and description through SCaLE submission route</x:v>
      </x:c>
      <x:c r="W55" s="12" t="str">
        <x:v>Recheck the SCaLE form and official local page; if both show 2027 intake, prepare the 40-minute version.</x:v>
      </x:c>
      <x:c r="X55" s="12" t="str">
        <x:v>FINALIST; official pages conflict on open status; local experience favored; do not treat deadline as actionable until reconciled | Local page says CFP TBD while global speaking index labels it open and provides a 2026-11-01 deadline; economics and rights unknown | Local page says CFP TBD while global index labels open and gives 2026-11-01 deadline; economics and rights unknown | MERGE CONFLICTS/VARIANTS — eligibility: Speaker must submit directly; local stories favored; no vendor pitches | Direct speaker involvement; local stories favored; no vendor pitches; formats_and_durations: 30-40-minute talk; 10-minute lightning; Open Space | 30–40-minute talk; 10-minute lightning; Open Space; submission_requirements: Title and description through SCaLE submission route | SCaLE submission route</x:v>
      </x:c>
      <x:c r="Y55" s="12" t="str">
        <x:v>https://devopsdays.org/events/2027-los-angeles/propose/</x:v>
      </x:c>
    </x:row>
    <x:row r="56" ht="33" customHeight="1">
      <x:c r="A56" s="12" t="n">
        <x:v>52</x:v>
      </x:c>
      <x:c r="B56" s="15" t="n">
        <x:f>ROUND(M56*Scoring!$B$3+N56*Scoring!$B$4+O56*Scoring!$B$5+(6-P56)*Scoring!$B$6+Q56*Scoring!$B$7,3)</x:f>
        <x:v>2.195</x:v>
      </x:c>
      <x:c r="C56" s="12" t="str">
        <x:v>community/meetup</x:v>
      </x:c>
      <x:c r="D56" s="12" t="str">
        <x:v>AI Friday New Orleans</x:v>
      </x:c>
      <x:c r="E56" s="12" t="str">
        <x:v>Preferred US cities</x:v>
      </x:c>
      <x:c r="F56" s="12" t="str">
        <x:v>New Orleans; monthly in person</x:v>
      </x:c>
      <x:c r="G56" s="12" t="str">
        <x:v>in-person</x:v>
      </x:c>
      <x:c r="H56" s="18" t="n">
        <x:v>46283.5</x:v>
      </x:c>
      <x:c r="I56" s="12" t="str">
        <x:v>public form/contact route</x:v>
      </x:c>
      <x:c r="J56" s="18"/>
      <x:c r="K56" s="12" t="str">
        <x:v>A Skeptic's Guide to Surviving AI in Education</x:v>
      </x:c>
      <x:c r="L56" s="12" t="str"/>
      <x:c r="M56" s="12" t="n">
        <x:v>1</x:v>
      </x:c>
      <x:c r="N56" s="12" t="n">
        <x:v>2</x:v>
      </x:c>
      <x:c r="O56" s="12" t="n">
        <x:v>2.38</x:v>
      </x:c>
      <x:c r="P56" s="12" t="n">
        <x:v>2</x:v>
      </x:c>
      <x:c r="Q56" s="12" t="n">
        <x:v>3</x:v>
      </x:c>
      <x:c r="R56" s="12" t="str">
        <x:v>Exact preferred city.</x:v>
      </x:c>
      <x:c r="S56" s="12" t="str">
        <x:v>Researcher-rated route and format effort; 1 is easiest and 5 is hardest.</x:v>
      </x:c>
      <x:c r="T56" s="12" t="str">
        <x:v>Recurring program or sponsor/history evidence is visible; no strong comparable audience count was found.</x:v>
      </x:c>
      <x:c r="U56" s="12" t="str">
        <x:v>Education, Product, Judgment, Free tier, and accessible versions of Adaptive or Failure</x:v>
      </x:c>
      <x:c r="V56" s="12" t="str">
        <x:v>No speaker form is published. Use the public email or community Slack listed under Get in Touch to ask about a future working-session contribution. AI Friday</x:v>
      </x:c>
      <x:c r="W56" s="12" t="str">
        <x:v>Review the public route and decide whether to prepare the indicated talk or demo format.</x:v>
      </x:c>
      <x:c r="X56" s="12" t="str">
        <x:v>Audience size, talk format, speaker selection, location, and whether guest presentations are part of the September meeting.</x:v>
      </x:c>
      <x:c r="Y56" s="12" t="str">
        <x:v>https://aifri.day/</x:v>
      </x:c>
    </x:row>
    <x:row r="57" ht="33" customHeight="1">
      <x:c r="A57" s="12" t="n">
        <x:v>53</x:v>
      </x:c>
      <x:c r="B57" s="15" t="n">
        <x:f>ROUND(M57*Scoring!$B$3+N57*Scoring!$B$4+O57*Scoring!$B$5+(6-P57)*Scoring!$B$6+Q57*Scoring!$B$7,3)</x:f>
        <x:v>2.195</x:v>
      </x:c>
      <x:c r="C57" s="12" t="str">
        <x:v>community/meetup</x:v>
      </x:c>
      <x:c r="D57" s="12" t="str">
        <x:v>Denver Data Science Professionals (DDSP)</x:v>
      </x:c>
      <x:c r="E57" s="12" t="str">
        <x:v>Denver/Colorado</x:v>
      </x:c>
      <x:c r="F57" s="12" t="str">
        <x:v>Galvanize Denver; approximately bimonthly</x:v>
      </x:c>
      <x:c r="G57" s="12" t="str">
        <x:v>in-person</x:v>
      </x:c>
      <x:c r="H57" s="18"/>
      <x:c r="I57" s="12" t="str">
        <x:v>public form/contact route</x:v>
      </x:c>
      <x:c r="J57" s="18"/>
      <x:c r="K57" s="12" t="str">
        <x:v>Stop Looking at My Benchmarks… Get Your Own!</x:v>
      </x:c>
      <x:c r="L57" s="12" t="str"/>
      <x:c r="M57" s="12" t="n">
        <x:v>1</x:v>
      </x:c>
      <x:c r="N57" s="12" t="n">
        <x:v>2</x:v>
      </x:c>
      <x:c r="O57" s="12" t="n">
        <x:v>2.38</x:v>
      </x:c>
      <x:c r="P57" s="12" t="n">
        <x:v>2</x:v>
      </x:c>
      <x:c r="Q57" s="12" t="n">
        <x:v>3</x:v>
      </x:c>
      <x:c r="R57" s="12" t="str">
        <x:v>Exact preferred city.</x:v>
      </x:c>
      <x:c r="S57" s="12" t="str">
        <x:v>Researcher-rated route and format effort; 1 is easiest and 5 is hardest.</x:v>
      </x:c>
      <x:c r="T57" s="12" t="str">
        <x:v>Recurring program or sponsor/history evidence is visible; no strong comparable audience count was found.</x:v>
      </x:c>
      <x:c r="U57" s="12" t="str">
        <x:v>Benchmarks, Retrieval, Adaptive, Parallelization, and Failure</x:v>
      </x:c>
      <x:c r="V57" s="12" t="str">
        <x:v>Official page invites presenters to contact organizers and publishes their contact details. Presenter route</x:v>
      </x:c>
      <x:c r="W57" s="12" t="str">
        <x:v>Review the public route and decide whether to prepare the indicated talk or demo format.</x:v>
      </x:c>
      <x:c r="X57" s="12" t="str"/>
      <x:c r="Y57" s="12" t="str">
        <x:v>https://www.denverdatascienceprofessionals.com/</x:v>
      </x:c>
    </x:row>
    <x:row r="58" ht="33" customHeight="1">
      <x:c r="A58" s="12" t="n">
        <x:v>54</x:v>
      </x:c>
      <x:c r="B58" s="15" t="n">
        <x:f>ROUND(M58*Scoring!$B$3+N58*Scoring!$B$4+O58*Scoring!$B$5+(6-P58)*Scoring!$B$6+Q58*Scoring!$B$7,3)</x:f>
        <x:v>2.195</x:v>
      </x:c>
      <x:c r="C58" s="12" t="str">
        <x:v>community/meetup</x:v>
      </x:c>
      <x:c r="D58" s="12" t="str">
        <x:v>ProductCamp Austin</x:v>
      </x:c>
      <x:c r="E58" s="12" t="str">
        <x:v>Preferred US cities</x:v>
      </x:c>
      <x:c r="F58" s="12" t="str">
        <x:v>Austin; annual in-person unconference</x:v>
      </x:c>
      <x:c r="G58" s="12" t="str">
        <x:v>in-person</x:v>
      </x:c>
      <x:c r="H58" s="18" t="n">
        <x:v>46284.5</x:v>
      </x:c>
      <x:c r="I58" s="12" t="str">
        <x:v>public form/contact route</x:v>
      </x:c>
      <x:c r="J58" s="18"/>
      <x:c r="K58" s="12" t="str">
        <x:v>Break the Mirror on Purpose</x:v>
      </x:c>
      <x:c r="L58" s="12" t="str"/>
      <x:c r="M58" s="12" t="n">
        <x:v>1</x:v>
      </x:c>
      <x:c r="N58" s="12" t="n">
        <x:v>2</x:v>
      </x:c>
      <x:c r="O58" s="12" t="n">
        <x:v>2.38</x:v>
      </x:c>
      <x:c r="P58" s="12" t="n">
        <x:v>2</x:v>
      </x:c>
      <x:c r="Q58" s="12" t="n">
        <x:v>3</x:v>
      </x:c>
      <x:c r="R58" s="12" t="str">
        <x:v>Exact preferred city.</x:v>
      </x:c>
      <x:c r="S58" s="12" t="str">
        <x:v>Researcher-rated route and format effort; 1 is easiest and 5 is hardest.</x:v>
      </x:c>
      <x:c r="T58" s="12" t="str">
        <x:v>Recurring program or sponsor/history evidence is visible; no strong comparable audience count was found.</x:v>
      </x:c>
      <x:c r="U58" s="12" t="str">
        <x:v>Product, Judgment, Failure, Free tier, Education, and accessible versions of Adaptive or Benchmarks</x:v>
      </x:c>
      <x:c r="V58" s="12" t="str">
        <x:v>Public Submit a Session route. One proposal per person; sessions are thirty minutes including Q&amp;A, followed by a thirty-second pitch and attendee vote. ProductCamp Austin</x:v>
      </x:c>
      <x:c r="W58" s="12" t="str">
        <x:v>Review the public route and decide whether to prepare the indicated talk or demo format.</x:v>
      </x:c>
      <x:c r="X58" s="12" t="str">
        <x:v>Submission cutoff, registration capacity, remote participation, and whether non-local proposals are common.</x:v>
      </x:c>
      <x:c r="Y58" s="12" t="str">
        <x:v>https://www.productcampaustin.org/</x:v>
      </x:c>
    </x:row>
    <x:row r="59" ht="33" customHeight="1">
      <x:c r="A59" s="12" t="n">
        <x:v>55</x:v>
      </x:c>
      <x:c r="B59" s="15" t="n">
        <x:f>ROUND(M59*Scoring!$B$3+N59*Scoring!$B$4+O59*Scoring!$B$5+(6-P59)*Scoring!$B$6+Q59*Scoring!$B$7,3)</x:f>
        <x:v>2.195</x:v>
      </x:c>
      <x:c r="C59" s="12" t="str">
        <x:v>conference/event</x:v>
      </x:c>
      <x:c r="D59" s="12" t="str">
        <x:v>SaaStr AI Annual</x:v>
      </x:c>
      <x:c r="E59" s="12" t="str">
        <x:v>SaaStr AI Annual 2027</x:v>
      </x:c>
      <x:c r="F59" s="12" t="str">
        <x:v>San Mateo, USA</x:v>
      </x:c>
      <x:c r="G59" s="12" t="str">
        <x:v>in-person</x:v>
      </x:c>
      <x:c r="H59" s="18" t="n">
        <x:v>46518.5</x:v>
      </x:c>
      <x:c r="I59" s="12" t="str">
        <x:v>rolling</x:v>
      </x:c>
      <x:c r="J59" s="18"/>
      <x:c r="K59" s="12" t="str">
        <x:v>Buy Me a Free Tier</x:v>
      </x:c>
      <x:c r="L59" s="12" t="str"/>
      <x:c r="M59" s="12" t="n">
        <x:v>2</x:v>
      </x:c>
      <x:c r="N59" s="12" t="n">
        <x:v>3</x:v>
      </x:c>
      <x:c r="O59" s="12" t="n">
        <x:v>2.18</x:v>
      </x:c>
      <x:c r="P59" s="12" t="n">
        <x:v>5</x:v>
      </x:c>
      <x:c r="Q59" s="12" t="n">
        <x:v>3</x:v>
      </x:c>
      <x:c r="R59" s="12" t="str">
        <x:v>Near a preferred city or within the Denver/Front Range area.</x:v>
      </x:c>
      <x:c r="S59" s="12" t="str">
        <x:v>Standard CFP plus registration, assets, review, or meaningful format adaptation.</x:v>
      </x:c>
      <x:c r="T59" s="12" t="str">
        <x:v>Public organizer/platform signal of at least 10,000 members, registrations, attendees, or reach.</x:v>
      </x:c>
      <x:c r="U59" s="12" t="str">
        <x:v>Founders and B2B AI operators are direct beneficiaries; public apply-to-speak route is linked and reviewed on a rolling basis.</x:v>
      </x:c>
      <x:c r="V59" s="12" t="str">
        <x:v>unknown</x:v>
      </x:c>
      <x:c r="W59" s="12" t="str">
        <x:v>Inspect the interactive application and pitch a tactical founder workshop only if Dan's role and experience satisfy the form.</x:v>
      </x:c>
      <x:c r="X59" s="12" t="str">
        <x:v>FINALIST; application details did not render; workshop version requires adaptation; no invented founder credentials or company-stage claims | Application deadline, selection rules, speaker costs/travel/rights, and whether talk is sufficiently founder/GTM oriented</x:v>
      </x:c>
      <x:c r="Y59" s="12" t="str">
        <x:v>https://www.saastrannual.com/speaker-submission</x:v>
      </x:c>
    </x:row>
    <x:row r="60" ht="33" customHeight="1">
      <x:c r="A60" s="12" t="n">
        <x:v>56</x:v>
      </x:c>
      <x:c r="B60" s="15" t="n">
        <x:f>ROUND(M60*Scoring!$B$3+N60*Scoring!$B$4+O60*Scoring!$B$5+(6-P60)*Scoring!$B$6+Q60*Scoring!$B$7,3)</x:f>
        <x:v>2.218</x:v>
      </x:c>
      <x:c r="C60" s="12" t="str">
        <x:v>conference/event</x:v>
      </x:c>
      <x:c r="D60" s="12" t="str">
        <x:v>Tokenomicon + FinOps X</x:v>
      </x:c>
      <x:c r="E60" s="12" t="str">
        <x:v>Tokenomicon + FinOps X 2027</x:v>
      </x:c>
      <x:c r="F60" s="12" t="str">
        <x:v>San Diego, USA</x:v>
      </x:c>
      <x:c r="G60" s="12" t="str">
        <x:v>in-person</x:v>
      </x:c>
      <x:c r="H60" s="18" t="n">
        <x:v>46545.5</x:v>
      </x:c>
      <x:c r="I60" s="12" t="str">
        <x:v>announced-not-open</x:v>
      </x:c>
      <x:c r="J60" s="18"/>
      <x:c r="K60" s="12" t="str">
        <x:v>Buy Me a Free Tier</x:v>
      </x:c>
      <x:c r="L60" s="12" t="str"/>
      <x:c r="M60" s="12" t="n">
        <x:v>1</x:v>
      </x:c>
      <x:c r="N60" s="12" t="n">
        <x:v>2</x:v>
      </x:c>
      <x:c r="O60" s="12" t="n">
        <x:v>1.87</x:v>
      </x:c>
      <x:c r="P60" s="12" t="n">
        <x:v>1</x:v>
      </x:c>
      <x:c r="Q60" s="12" t="n">
        <x:v>3</x:v>
      </x:c>
      <x:c r="R60" s="12" t="str">
        <x:v>Exact preferred city.</x:v>
      </x:c>
      <x:c r="S60" s="12" t="str">
        <x:v>Standard public proposal or organizer route with no hard requirement found.</x:v>
      </x:c>
      <x:c r="T60" s="12" t="str">
        <x:v>Little public popularity evidence beyond the event or route itself.</x:v>
      </x:c>
      <x:c r="U60" s="12" t="str">
        <x:v>Prior official guide explicitly asks for FinOps for AI, token-based cost models, unit economics, and data-driven outcomes.</x:v>
      </x:c>
      <x:c r="V60" s="12" t="str">
        <x:v>Prior cycle demands actionable points and real-world examples/data</x:v>
      </x:c>
      <x:c r="W60" s="12" t="str">
        <x:v>Build a citation-backed synthetic demo now; monitor for 2027 rules and use lightning format if practitioner status is not met.</x:v>
      </x:c>
      <x:c r="X60" s="12" t="str">
        <x:v>FINALIST; 2027 call not open; breakout eligibility likely practitioner/end-user; talk currently lacks a proprietary case study and real-world organizational data | 2027 CFP dates/rules; Dan's practitioner/end-user status; real-world data permissions; all economics and travel</x:v>
      </x:c>
      <x:c r="Y60" s="12" t="str">
        <x:v>https://www.tokenomicon.com/</x:v>
      </x:c>
    </x:row>
    <x:row r="61" ht="33" customHeight="1">
      <x:c r="A61" s="12" t="n">
        <x:v>57</x:v>
      </x:c>
      <x:c r="B61" s="15" t="n">
        <x:f>ROUND(M61*Scoring!$B$3+N61*Scoring!$B$4+O61*Scoring!$B$5+(6-P61)*Scoring!$B$6+Q61*Scoring!$B$7,3)</x:f>
        <x:v>2.22</x:v>
      </x:c>
      <x:c r="C61" s="12" t="str">
        <x:v>conference/event</x:v>
      </x:c>
      <x:c r="D61" s="12" t="str">
        <x:v>POSSIBLE</x:v>
      </x:c>
      <x:c r="E61" s="12" t="str">
        <x:v>POSSIBLE 2027</x:v>
      </x:c>
      <x:c r="F61" s="12" t="str">
        <x:v>Miami Beach, United States</x:v>
      </x:c>
      <x:c r="G61" s="12" t="str">
        <x:v>in-person</x:v>
      </x:c>
      <x:c r="H61" s="18" t="n">
        <x:v>46482.5</x:v>
      </x:c>
      <x:c r="I61" s="12" t="str">
        <x:v>open</x:v>
      </x:c>
      <x:c r="J61" s="18" t="n">
        <x:v>46367.5</x:v>
      </x:c>
      <x:c r="K61" s="12" t="str">
        <x:v>Turn Your Thinkin' Tokens Up to 11</x:v>
      </x:c>
      <x:c r="L61" s="12" t="str">
        <x:v>product-engineering</x:v>
      </x:c>
      <x:c r="M61" s="12" t="n">
        <x:v>1</x:v>
      </x:c>
      <x:c r="N61" s="12" t="n">
        <x:v>2</x:v>
      </x:c>
      <x:c r="O61" s="12" t="n">
        <x:v>2.48</x:v>
      </x:c>
      <x:c r="P61" s="12" t="n">
        <x:v>2</x:v>
      </x:c>
      <x:c r="Q61" s="12" t="n">
        <x:v>3</x:v>
      </x:c>
      <x:c r="R61" s="12" t="str">
        <x:v>Exact preferred city.</x:v>
      </x:c>
      <x:c r="S61" s="12" t="str">
        <x:v>Standard public proposal or organizer route with no hard requirement found.</x:v>
      </x:c>
      <x:c r="T61" s="12" t="str">
        <x:v>Recurring program or sponsor/history evidence is visible; no strong comparable audience count was found.</x:v>
      </x:c>
      <x:c r="U61" s="12" t="str">
        <x:v>Open editorial route and leadership audience are usable, but the program is marketing-heavy.</x:v>
      </x:c>
      <x:c r="V61" s="12" t="str">
        <x:v>Original idea, research, case study or forward-looking perspective; editorial application.</x:v>
      </x:c>
      <x:c r="W61" s="12" t="str">
        <x:v>Use only the editorial form if Dan truthfully fits the stated audience; submit by December 11.</x:v>
      </x:c>
      <x:c r="X61" s="12" t="str">
        <x:v>Eligibility emphasizes brand/marketing leaders, founders and innovators; solution providers are routed to sales. | Dan's founder/innovator eligibility, format, economics, rights, accessibility and attendance unknown; marketing audience is indirect.</x:v>
      </x:c>
      <x:c r="Y61" s="12" t="str">
        <x:v>https://possibleevent.com/speaker-opportunities/</x:v>
      </x:c>
    </x:row>
    <x:row r="62" ht="33" customHeight="1">
      <x:c r="A62" s="12" t="n">
        <x:v>58</x:v>
      </x:c>
      <x:c r="B62" s="15" t="n">
        <x:f>ROUND(M62*Scoring!$B$3+N62*Scoring!$B$4+O62*Scoring!$B$5+(6-P62)*Scoring!$B$6+Q62*Scoring!$B$7,3)</x:f>
        <x:v>2.24</x:v>
      </x:c>
      <x:c r="C62" s="12" t="str">
        <x:v>conference/event</x:v>
      </x:c>
      <x:c r="D62" s="12" t="str">
        <x:v>Teaching and Learning with AI Conference</x:v>
      </x:c>
      <x:c r="E62" s="12" t="str">
        <x:v>Teaching and Learning with AI 2027</x:v>
      </x:c>
      <x:c r="F62" s="12" t="str">
        <x:v>Orlando, United States</x:v>
      </x:c>
      <x:c r="G62" s="12" t="str">
        <x:v>in-person</x:v>
      </x:c>
      <x:c r="H62" s="18" t="n">
        <x:v>46539.5</x:v>
      </x:c>
      <x:c r="I62" s="12" t="str">
        <x:v>announced-not-open</x:v>
      </x:c>
      <x:c r="J62" s="18" t="n">
        <x:v>46409.5</x:v>
      </x:c>
      <x:c r="K62" s="12" t="str">
        <x:v>A Skeptic's Guide to Surviving AI in Education</x:v>
      </x:c>
      <x:c r="L62" s="12" t="str">
        <x:v>evidence-learning</x:v>
      </x:c>
      <x:c r="M62" s="12" t="n">
        <x:v>1</x:v>
      </x:c>
      <x:c r="N62" s="12" t="n">
        <x:v>3</x:v>
      </x:c>
      <x:c r="O62" s="12" t="n">
        <x:v>1.36</x:v>
      </x:c>
      <x:c r="P62" s="12" t="n">
        <x:v>2</x:v>
      </x:c>
      <x:c r="Q62" s="12" t="n">
        <x:v>4</x:v>
      </x:c>
      <x:c r="R62" s="12" t="str">
        <x:v>Exact preferred city.</x:v>
      </x:c>
      <x:c r="S62" s="12" t="str">
        <x:v>Standard CFP plus registration, assets, review, or meaningful format adaptation.</x:v>
      </x:c>
      <x:c r="T62" s="12" t="str">
        <x:v>Recurring program or sponsor/history evidence is visible; no strong comparable audience count was found.</x:v>
      </x:c>
      <x:c r="U62" s="12" t="str">
        <x:v>Conference is devoted to AI in higher-ed teaching and has prior sessions on AI-resilient courses and assessment; thesis is directly on target</x:v>
      </x:c>
      <x:c r="V62" s="12" t="str">
        <x:v>Guidelines not yet published</x:v>
      </x:c>
      <x:c r="W62" s="12" t="str">
        <x:v>Prepare now; recheck full guidelines when the call opens 2026-10-05 and submit by 2027-01-22 if eligibility/economics work</x:v>
      </x:c>
      <x:c r="X62" s="12" t="str">
        <x:v>In-person only; presenter registration required; guidelines and presenter price not yet published | CFP opens 2026-10-05; exact submission fields, travel support, compensation, rights, accessibility, and presenter fee unknown. | Submission schema, eligibility, presenter price, compensation, travel, rights, accessibility, and Dan's affiliation unknown | MERGE CONFLICTS/VARIANTS — country: United States | USA; eligibility: Higher-education professionals, researchers, and policymakers; detailed 2027 eligibility forthcoming | Higher-education practitioners, researchers, and policymakers; K-12 educators also encouraged; formats_and_durations: 30-minute concurrent slots visible in agenda-at-a-glance; other formats forthcoming | 2027 agenda shows 30-minute concurrent sessions; full guidelines pending; submission_requirements: Guidelines not yet published | Guidelines not yet posted; travel_support: Not stated | unknown; attendance_value: International higher-education AI teaching audience; attendance not verified | International higher-education AI-specialist audience; fifth annual edition; verified_at: 2026-09-04T12:00:00-06:00 | 2026-09-04T23:00:00-06:00</x:v>
      </x:c>
      <x:c r="Y62" s="12" t="str">
        <x:v>https://aiforall.ucf.edu/teachwithai/</x:v>
      </x:c>
    </x:row>
    <x:row r="63" ht="33" customHeight="1">
      <x:c r="A63" s="12" t="n">
        <x:v>59</x:v>
      </x:c>
      <x:c r="B63" s="15" t="n">
        <x:f>ROUND(M63*Scoring!$B$3+N63*Scoring!$B$4+O63*Scoring!$B$5+(6-P63)*Scoring!$B$6+Q63*Scoring!$B$7,3)</x:f>
        <x:v>2.25</x:v>
      </x:c>
      <x:c r="C63" s="12" t="str">
        <x:v>conference/event</x:v>
      </x:c>
      <x:c r="D63" s="12" t="str">
        <x:v>A4Q Testing Summit</x:v>
      </x:c>
      <x:c r="E63" s="12" t="str">
        <x:v>A4Q Testing Summit 2027</x:v>
      </x:c>
      <x:c r="F63" s="12" t="str">
        <x:v>online</x:v>
      </x:c>
      <x:c r="G63" s="12" t="str">
        <x:v>online</x:v>
      </x:c>
      <x:c r="H63" s="18" t="n">
        <x:v>46504.5</x:v>
      </x:c>
      <x:c r="I63" s="12" t="str">
        <x:v>open-undated</x:v>
      </x:c>
      <x:c r="J63" s="18"/>
      <x:c r="K63" s="12" t="str">
        <x:v>The Pager Cried Wolf</x:v>
      </x:c>
      <x:c r="L63" s="12" t="str">
        <x:v>parallelization</x:v>
      </x:c>
      <x:c r="M63" s="12" t="n">
        <x:v>1</x:v>
      </x:c>
      <x:c r="N63" s="12" t="n">
        <x:v>2</x:v>
      </x:c>
      <x:c r="O63" s="12" t="n">
        <x:v>2</x:v>
      </x:c>
      <x:c r="P63" s="12" t="n">
        <x:v>1</x:v>
      </x:c>
      <x:c r="Q63" s="12" t="n">
        <x:v>3</x:v>
      </x:c>
      <x:c r="R63" s="12" t="str">
        <x:v>Remote or online participation is available.</x:v>
      </x:c>
      <x:c r="S63" s="12" t="str">
        <x:v>Standard public proposal or organizer route with no hard requirement found.</x:v>
      </x:c>
      <x:c r="T63" s="12" t="str">
        <x:v>Little public popularity evidence beyond the event or route itself.</x:v>
      </x:c>
      <x:c r="U63" s="12" t="str">
        <x:v>Testing/quality audience and online delivery remove travel uncertainty, but key CFP details are undated.</x:v>
      </x:c>
      <x:c r="V63" s="12" t="str">
        <x:v>Title and short abstract requested.</x:v>
      </x:c>
      <x:c r="W63" s="12" t="str">
        <x:v>Inspect the speaker flow for duration and selection timing; prepare but do not treat as deadline-driven.</x:v>
      </x:c>
      <x:c r="X63" s="12" t="str">
        <x:v>No deadline or duration; no past-session evidence captured; language-track placement unknown. | Deadline, duration, recording rights, accessibility, platform, audience size and selection rules unknown.</x:v>
      </x:c>
      <x:c r="Y63" s="12" t="str">
        <x:v>https://testingsummit.com/</x:v>
      </x:c>
    </x:row>
    <x:row r="64" ht="33" customHeight="1">
      <x:c r="A64" s="12" t="n">
        <x:v>60</x:v>
      </x:c>
      <x:c r="B64" s="15" t="n">
        <x:f>ROUND(M64*Scoring!$B$3+N64*Scoring!$B$4+O64*Scoring!$B$5+(6-P64)*Scoring!$B$6+Q64*Scoring!$B$7,3)</x:f>
        <x:v>2.29</x:v>
      </x:c>
      <x:c r="C64" s="12" t="str">
        <x:v>conference/event</x:v>
      </x:c>
      <x:c r="D64" s="12" t="str">
        <x:v>Product-Led Summit</x:v>
      </x:c>
      <x:c r="E64" s="12" t="str">
        <x:v>Product-Led Summit Seattle 2027</x:v>
      </x:c>
      <x:c r="F64" s="12" t="str">
        <x:v>Seattle, United States</x:v>
      </x:c>
      <x:c r="G64" s="12" t="str">
        <x:v>in-person</x:v>
      </x:c>
      <x:c r="H64" s="18" t="n">
        <x:v>46554.5</x:v>
      </x:c>
      <x:c r="I64" s="12" t="str">
        <x:v>open-undated</x:v>
      </x:c>
      <x:c r="J64" s="18"/>
      <x:c r="K64" s="12" t="str">
        <x:v>Break the Mirror on Purpose</x:v>
      </x:c>
      <x:c r="L64" s="12" t="str">
        <x:v>judgment</x:v>
      </x:c>
      <x:c r="M64" s="12" t="n">
        <x:v>1</x:v>
      </x:c>
      <x:c r="N64" s="12" t="n">
        <x:v>2</x:v>
      </x:c>
      <x:c r="O64" s="12" t="n">
        <x:v>2.16</x:v>
      </x:c>
      <x:c r="P64" s="12" t="n">
        <x:v>1</x:v>
      </x:c>
      <x:c r="Q64" s="12" t="n">
        <x:v>3</x:v>
      </x:c>
      <x:c r="R64" s="12" t="str">
        <x:v>Exact preferred city.</x:v>
      </x:c>
      <x:c r="S64" s="12" t="str">
        <x:v>Standard public proposal or organizer route with no hard requirement found.</x:v>
      </x:c>
      <x:c r="T64" s="12" t="str">
        <x:v>Little public popularity evidence beyond the event or route itself.</x:v>
      </x:c>
      <x:c r="U64" s="12" t="str">
        <x:v>Direct product-led, activation, experimentation and AI-product audience with strong precedent.</x:v>
      </x:c>
      <x:c r="V64" s="12" t="str">
        <x:v>Speaker-interest form with identity, title, company and business email; proposal fields not exposed on first step.</x:v>
      </x:c>
      <x:c r="W64" s="12" t="str">
        <x:v>Prepare the 30-minute abstract, then use the route only after confirming Dan's company/business-email facts.</x:v>
      </x:c>
      <x:c r="X64" s="12" t="str">
        <x:v>Undated interest form requires company and business email; selection/economics unknown. | Deadline, full requirements, economics, accessibility, rights, and Dan's company/business-email eligibility unknown.</x:v>
      </x:c>
      <x:c r="Y64" s="12" t="str">
        <x:v>https://world.productledalliance.com/location/seattle/requesttospeak</x:v>
      </x:c>
    </x:row>
    <x:row r="65" ht="33" customHeight="1">
      <x:c r="A65" s="12" t="n">
        <x:v>61</x:v>
      </x:c>
      <x:c r="B65" s="15" t="n">
        <x:f>ROUND(M65*Scoring!$B$3+N65*Scoring!$B$4+O65*Scoring!$B$5+(6-P65)*Scoring!$B$6+Q65*Scoring!$B$7,3)</x:f>
        <x:v>2.325</x:v>
      </x:c>
      <x:c r="C65" s="12" t="str">
        <x:v>conference/event</x:v>
      </x:c>
      <x:c r="D65" s="12" t="str">
        <x:v>DX Annual</x:v>
      </x:c>
      <x:c r="E65" s="12" t="str">
        <x:v>DX Annual San Francisco 2027</x:v>
      </x:c>
      <x:c r="F65" s="12" t="str">
        <x:v>San Francisco, United States</x:v>
      </x:c>
      <x:c r="G65" s="12" t="str">
        <x:v>in-person</x:v>
      </x:c>
      <x:c r="H65" s="18" t="n">
        <x:v>46513.5</x:v>
      </x:c>
      <x:c r="I65" s="12" t="str">
        <x:v>announced-not-open</x:v>
      </x:c>
      <x:c r="J65" s="18"/>
      <x:c r="K65" s="12" t="str">
        <x:v>Turn Your Thinkin' Tokens Up to 11</x:v>
      </x:c>
      <x:c r="L65" s="12" t="str">
        <x:v>product-engineering</x:v>
      </x:c>
      <x:c r="M65" s="12" t="n">
        <x:v>1</x:v>
      </x:c>
      <x:c r="N65" s="12" t="n">
        <x:v>2</x:v>
      </x:c>
      <x:c r="O65" s="12" t="n">
        <x:v>2.3</x:v>
      </x:c>
      <x:c r="P65" s="12" t="n">
        <x:v>1</x:v>
      </x:c>
      <x:c r="Q65" s="12" t="n">
        <x:v>3</x:v>
      </x:c>
      <x:c r="R65" s="12" t="str">
        <x:v>Exact preferred city.</x:v>
      </x:c>
      <x:c r="S65" s="12" t="str">
        <x:v>Standard public proposal or organizer route with no hard requirement found.</x:v>
      </x:c>
      <x:c r="T65" s="12" t="str">
        <x:v>Little public popularity evidence beyond the event or route itself.</x:v>
      </x:c>
      <x:c r="U65" s="12" t="str">
        <x:v>CTO/VP and developer-productivity audience is exact, but speakers must have led major organizational change and use real data.</x:v>
      </x:c>
      <x:c r="V65" s="12" t="str">
        <x:v>Practical lessons and real-world experience driving developer productivity and AI initiatives.</x:v>
      </x:c>
      <x:c r="W65" s="12" t="str">
        <x:v>Monitor the announced fall call and exclude if the evidence requirement cannot be met.</x:v>
      </x:c>
      <x:c r="X65" s="12" t="str">
        <x:v>Speaker call announced but not open; Dan's qualifying leadership role, organizational-change case and real data are unknown. | Application not open; Dan's organizational-change credentials, economics, format and accessibility unknown.</x:v>
      </x:c>
      <x:c r="Y65" s="12" t="str">
        <x:v>https://getdx.com/dxannual/</x:v>
      </x:c>
    </x:row>
    <x:row r="66" ht="33" customHeight="1">
      <x:c r="A66" s="12" t="n">
        <x:v>62</x:v>
      </x:c>
      <x:c r="B66" s="15" t="n">
        <x:f>ROUND(M66*Scoring!$B$3+N66*Scoring!$B$4+O66*Scoring!$B$5+(6-P66)*Scoring!$B$6+Q66*Scoring!$B$7,3)</x:f>
        <x:v>2.33</x:v>
      </x:c>
      <x:c r="C66" s="12" t="str">
        <x:v>community/meetup</x:v>
      </x:c>
      <x:c r="D66" s="12" t="str">
        <x:v>Tech Alley Vegas</x:v>
      </x:c>
      <x:c r="E66" s="12" t="str">
        <x:v>Preferred US cities</x:v>
      </x:c>
      <x:c r="F66" s="12" t="str">
        <x:v>Downtown Las Vegas; third Saturday monthly, in person</x:v>
      </x:c>
      <x:c r="G66" s="12" t="str">
        <x:v>in-person</x:v>
      </x:c>
      <x:c r="H66" s="18" t="n">
        <x:v>46284.5</x:v>
      </x:c>
      <x:c r="I66" s="12" t="str">
        <x:v>public form/contact route</x:v>
      </x:c>
      <x:c r="J66" s="18"/>
      <x:c r="K66" s="12" t="str">
        <x:v>Break the Mirror on Purpose</x:v>
      </x:c>
      <x:c r="L66" s="12" t="str"/>
      <x:c r="M66" s="12" t="n">
        <x:v>1</x:v>
      </x:c>
      <x:c r="N66" s="12" t="n">
        <x:v>3</x:v>
      </x:c>
      <x:c r="O66" s="12" t="n">
        <x:v>2.12</x:v>
      </x:c>
      <x:c r="P66" s="12" t="n">
        <x:v>2</x:v>
      </x:c>
      <x:c r="Q66" s="12" t="n">
        <x:v>3</x:v>
      </x:c>
      <x:c r="R66" s="12" t="str">
        <x:v>Exact preferred city.</x:v>
      </x:c>
      <x:c r="S66" s="12" t="str">
        <x:v>Researcher-rated route and format effort; 1 is easiest and 5 is hardest.</x:v>
      </x:c>
      <x:c r="T66" s="12" t="str">
        <x:v>Public organizer/platform signal of at least 150.</x:v>
      </x:c>
      <x:c r="U66" s="12" t="str">
        <x:v>All ten, routed to the appropriate constituent meetup; strongest for Product, Free tier, Judgment, Adaptive, and Failure</x:v>
      </x:c>
      <x:c r="V66" s="12" t="str">
        <x:v>Use Tech Alley's public community/partner route or approach a listed constituent meetup for an agenda slot. It is a “meetup of meetups,” not one editorial stage. Official site · Meetup</x:v>
      </x:c>
      <x:c r="W66" s="12" t="str">
        <x:v>Review the public route and decide whether to prepare the indicated talk or demo format.</x:v>
      </x:c>
      <x:c r="X66" s="12" t="str">
        <x:v>Which September track still has space, session lengths by subgroup, and whether out-of-town talks are accepted.</x:v>
      </x:c>
      <x:c r="Y66" s="12" t="str">
        <x:v>https://www.techalley.org/</x:v>
      </x:c>
    </x:row>
    <x:row r="67" ht="33" customHeight="1">
      <x:c r="A67" s="12" t="n">
        <x:v>63</x:v>
      </x:c>
      <x:c r="B67" s="15" t="n">
        <x:f>ROUND(M67*Scoring!$B$3+N67*Scoring!$B$4+O67*Scoring!$B$5+(6-P67)*Scoring!$B$6+Q67*Scoring!$B$7,3)</x:f>
        <x:v>2.335</x:v>
      </x:c>
      <x:c r="C67" s="12" t="str">
        <x:v>conference/event</x:v>
      </x:c>
      <x:c r="D67" s="12" t="str">
        <x:v>Lilly Conference San Diego</x:v>
      </x:c>
      <x:c r="E67" s="12" t="str">
        <x:v>Lilly San Diego 2027</x:v>
      </x:c>
      <x:c r="F67" s="12" t="str">
        <x:v>San Diego, United States</x:v>
      </x:c>
      <x:c r="G67" s="12" t="str">
        <x:v>in-person</x:v>
      </x:c>
      <x:c r="H67" s="18" t="n">
        <x:v>46394.5</x:v>
      </x:c>
      <x:c r="I67" s="12" t="str">
        <x:v>open</x:v>
      </x:c>
      <x:c r="J67" s="18" t="n">
        <x:v>46296.5</x:v>
      </x:c>
      <x:c r="K67" s="12" t="str">
        <x:v>A Skeptic's Guide to Surviving AI in Education</x:v>
      </x:c>
      <x:c r="L67" s="12" t="str">
        <x:v>evidence-learning</x:v>
      </x:c>
      <x:c r="M67" s="12" t="n">
        <x:v>1</x:v>
      </x:c>
      <x:c r="N67" s="12" t="n">
        <x:v>5</x:v>
      </x:c>
      <x:c r="O67" s="12" t="n">
        <x:v>2.14</x:v>
      </x:c>
      <x:c r="P67" s="12" t="n">
        <x:v>4</x:v>
      </x:c>
      <x:c r="Q67" s="12" t="n">
        <x:v>2</x:v>
      </x:c>
      <x:c r="R67" s="12" t="str">
        <x:v>Exact preferred city.</x:v>
      </x:c>
      <x:c r="S67" s="12" t="str">
        <x:v>Hard credential, publication, domain, or firsthand-evidence requirement.</x:v>
      </x:c>
      <x:c r="T67" s="12" t="str">
        <x:v>Established recurring conference or community series with visible program history.</x:v>
      </x:c>
      <x:c r="U67" s="12" t="str">
        <x:v>Edition theme is active and engaged learning in the age of AI; Lilly values scholarship, participation, and immediate teaching use</x:v>
      </x:c>
      <x:c r="V67" s="12" t="str">
        <x:v>Blind peer review; expected scholarly/evidence-based teaching contribution</x:v>
      </x:c>
      <x:c r="W67" s="12" t="str">
        <x:v>Open the linked proposal flow, verify presenter terms, and submit before 2026-10-01 if no affiliation barrier</x:v>
      </x:c>
      <x:c r="X67" s="12" t="str">
        <x:v>Exact CFP form, format, speaker costs, and affiliation expectations not exposed in reviewed page; two comparable prior sessions not located | Deadline is verified but submission requirements, formats, economics, rights, accessibility, and two specific past-session examples remain unknown. | CFP form URL, session durations, fees, travel, rights, accessibility, and Dan's institutional affiliation are unknown | MERGE CONFLICTS/VARIANTS — country: United States | USA; cfp_url: https://www.lillyconferences-ca.com/ | https://www.lillyconferences.com/; guidelines_url: https://www.lillyconferences-ca.com/ | https://www.lillyconferences.com/; eligibility: Higher-education teaching-and-learning contributors; exact presenter credential rules not found | Faculty, administrators, and graduate students are invited; exact eligibility not captured; formats_and_durations: Exact 2027 session formats/durations not found in accessible page | Formats not captured from reviewed page; attendance_value: Series reports 125+ colleges/universities and 30+ states per conference | Teaching for Active &amp; Engaged Learning in the Age of AI; attendance_year: 2026 | 2027; verified_at: 2026-09-04T12:00:00-06:00 | 2026-09-04T23:00:00-06:00</x:v>
      </x:c>
      <x:c r="Y67" s="12" t="str">
        <x:v>https://www.lillyconferences-ca.com/</x:v>
      </x:c>
    </x:row>
    <x:row r="68" ht="33" customHeight="1">
      <x:c r="A68" s="12" t="n">
        <x:v>64</x:v>
      </x:c>
      <x:c r="B68" s="15" t="n">
        <x:f>ROUND(M68*Scoring!$B$3+N68*Scoring!$B$4+O68*Scoring!$B$5+(6-P68)*Scoring!$B$6+Q68*Scoring!$B$7,3)</x:f>
        <x:v>2.363</x:v>
      </x:c>
      <x:c r="C68" s="12" t="str">
        <x:v>conference/event</x:v>
      </x:c>
      <x:c r="D68" s="12" t="str">
        <x:v>Conf42</x:v>
      </x:c>
      <x:c r="E68" s="12" t="str">
        <x:v>Conf42 AI Agents 2027</x:v>
      </x:c>
      <x:c r="F68" s="12" t="str">
        <x:v>Global</x:v>
      </x:c>
      <x:c r="G68" s="12" t="str">
        <x:v>online</x:v>
      </x:c>
      <x:c r="H68" s="18"/>
      <x:c r="I68" s="12" t="str">
        <x:v>unknown</x:v>
      </x:c>
      <x:c r="J68" s="18"/>
      <x:c r="K68" s="12" t="str">
        <x:v>Conjure Exactly Enough</x:v>
      </x:c>
      <x:c r="L68" s="12" t="str"/>
      <x:c r="M68" s="12" t="n">
        <x:v>1</x:v>
      </x:c>
      <x:c r="N68" s="12" t="n">
        <x:v>2</x:v>
      </x:c>
      <x:c r="O68" s="12" t="n">
        <x:v>2.65</x:v>
      </x:c>
      <x:c r="P68" s="12" t="n">
        <x:v>2</x:v>
      </x:c>
      <x:c r="Q68" s="12" t="n">
        <x:v>4</x:v>
      </x:c>
      <x:c r="R68" s="12" t="str">
        <x:v>Remote or online participation is available.</x:v>
      </x:c>
      <x:c r="S68" s="12" t="str">
        <x:v>Standard public proposal or organizer route with no hard requirement found.</x:v>
      </x:c>
      <x:c r="T68" s="12" t="str">
        <x:v>Recurring program or sponsor/history evidence is visible; no strong comparable audience count was found.</x:v>
      </x:c>
      <x:c r="U68" s="12" t="str">
        <x:v>2026 AI Agents program included orchestration, retry-budget failures, readiness frameworks, trust, and production architecture.</x:v>
      </x:c>
      <x:c r="V68" s="12" t="str">
        <x:v>Prerecorded/online mechanics inferred from series format but not confirmed for 2027</x:v>
      </x:c>
      <x:c r="W68" s="12" t="str">
        <x:v>Open the edition-specific 2027 page when published and verify deadline, duration, recording license, and whether applications are actually open.</x:v>
      </x:c>
      <x:c r="X68" s="12" t="str">
        <x:v>2027 date/intake/deadline and rights were not verified; prerecorded mechanics need confirmation. | Event date and deadline were not captured from the official edition page; do not treat generic CFP label as open. | Date, CFP status/deadline, duration, economics, rights, and accessibility unknown | MERGE CONFLICTS/VARIANTS — edition_url: https://www.conf42.com/agents2027 | https://www.conf42.com/; date_status: unconfirmed | unknown; mode: online | remote; submission_requirements: Prerecorded/online mechanics inferred from series format but not confirmed for 2027 | Edition appears in series navigation; intake details not verified; verified_at: 2026-09-04T23:00:00-06:00 | 2026-09-04T23:30:00-06:00</x:v>
      </x:c>
      <x:c r="Y68" s="12" t="str">
        <x:v>https://www.conf42.com/</x:v>
      </x:c>
    </x:row>
    <x:row r="69" ht="33" customHeight="1">
      <x:c r="A69" s="12" t="n">
        <x:v>65</x:v>
      </x:c>
      <x:c r="B69" s="15" t="n">
        <x:f>ROUND(M69*Scoring!$B$3+N69*Scoring!$B$4+O69*Scoring!$B$5+(6-P69)*Scoring!$B$6+Q69*Scoring!$B$7,3)</x:f>
        <x:v>2.395</x:v>
      </x:c>
      <x:c r="C69" s="12" t="str">
        <x:v>community/meetup</x:v>
      </x:c>
      <x:c r="D69" s="12" t="str">
        <x:v>Cloud Native Sydney</x:v>
      </x:c>
      <x:c r="E69" s="12" t="str">
        <x:v>Overseas from March 2027</x:v>
      </x:c>
      <x:c r="F69" s="12" t="str">
        <x:v>Sydney, Australia; in person/occasional virtual</x:v>
      </x:c>
      <x:c r="G69" s="12" t="str">
        <x:v>remote/online</x:v>
      </x:c>
      <x:c r="H69" s="18"/>
      <x:c r="I69" s="12" t="str">
        <x:v>public form/contact route</x:v>
      </x:c>
      <x:c r="J69" s="18"/>
      <x:c r="K69" s="12" t="str">
        <x:v>The Pager Cried Wolf</x:v>
      </x:c>
      <x:c r="L69" s="12" t="str"/>
      <x:c r="M69" s="12" t="n">
        <x:v>1</x:v>
      </x:c>
      <x:c r="N69" s="12" t="n">
        <x:v>3</x:v>
      </x:c>
      <x:c r="O69" s="12" t="n">
        <x:v>2.38</x:v>
      </x:c>
      <x:c r="P69" s="12" t="n">
        <x:v>2</x:v>
      </x:c>
      <x:c r="Q69" s="12" t="n">
        <x:v>3</x:v>
      </x:c>
      <x:c r="R69" s="12" t="str">
        <x:v>Remote or online participation is available.</x:v>
      </x:c>
      <x:c r="S69" s="12" t="str">
        <x:v>Researcher-rated route and format effort; 1 is easiest and 5 is hardest.</x:v>
      </x:c>
      <x:c r="T69" s="12" t="str">
        <x:v>Recurring program or sponsor/history evidence is visible; no strong comparable audience count was found.</x:v>
      </x:c>
      <x:c r="U69" s="12" t="str">
        <x:v>FI, AS, RT, BM, PA, technical JU</x:v>
      </x:c>
      <x:c r="V69" s="12" t="str">
        <x:v>Official event text says topic suggestions and speaker volunteers are welcome; organizer contact is public</x:v>
      </x:c>
      <x:c r="W69" s="12" t="str">
        <x:v>Review the public route and decide whether to prepare the indicated talk or demo format.</x:v>
      </x:c>
      <x:c r="X69" s="12" t="str">
        <x:v>No standing form, future date, member count, duration or support details were verified. official chapter event and speaker invitation</x:v>
      </x:c>
      <x:c r="Y69" s="12" t="str">
        <x:v>https://community.cncf.io/events/details/cncf-cloud-native-sydney-presents-cloud-native-sydney-cncf-meetup-19th-march/</x:v>
      </x:c>
    </x:row>
    <x:row r="70" ht="33" customHeight="1">
      <x:c r="A70" s="12" t="n">
        <x:v>66</x:v>
      </x:c>
      <x:c r="B70" s="15" t="n">
        <x:f>ROUND(M70*Scoring!$B$3+N70*Scoring!$B$4+O70*Scoring!$B$5+(6-P70)*Scoring!$B$6+Q70*Scoring!$B$7,3)</x:f>
        <x:v>2.395</x:v>
      </x:c>
      <x:c r="C70" s="12" t="str">
        <x:v>community/meetup</x:v>
      </x:c>
      <x:c r="D70" s="12" t="str">
        <x:v>Colorado Startup Week</x:v>
      </x:c>
      <x:c r="E70" s="12" t="str">
        <x:v>Denver/Colorado</x:v>
      </x:c>
      <x:c r="F70" s="12" t="str">
        <x:v>Downtown Denver; in person, free</x:v>
      </x:c>
      <x:c r="G70" s="12" t="str">
        <x:v>in-person</x:v>
      </x:c>
      <x:c r="H70" s="18" t="n">
        <x:v>46279.5</x:v>
      </x:c>
      <x:c r="I70" s="12" t="str">
        <x:v>public form/contact route</x:v>
      </x:c>
      <x:c r="J70" s="18"/>
      <x:c r="K70" s="12" t="str">
        <x:v>Break the Mirror on Purpose</x:v>
      </x:c>
      <x:c r="L70" s="12" t="str"/>
      <x:c r="M70" s="12" t="n">
        <x:v>1</x:v>
      </x:c>
      <x:c r="N70" s="12" t="n">
        <x:v>3</x:v>
      </x:c>
      <x:c r="O70" s="12" t="n">
        <x:v>2.38</x:v>
      </x:c>
      <x:c r="P70" s="12" t="n">
        <x:v>2</x:v>
      </x:c>
      <x:c r="Q70" s="12" t="n">
        <x:v>3</x:v>
      </x:c>
      <x:c r="R70" s="12" t="str">
        <x:v>Exact preferred city.</x:v>
      </x:c>
      <x:c r="S70" s="12" t="str">
        <x:v>Researcher-rated route and format effort; 1 is easiest and 5 is hardest.</x:v>
      </x:c>
      <x:c r="T70" s="12" t="str">
        <x:v>Recurring program or sponsor/history evidence is visible; no strong comparable audience count was found.</x:v>
      </x:c>
      <x:c r="U70" s="12" t="str">
        <x:v>Product, Judgment, Free tier, Education, Adaptive, and Benchmarks for founders/operators</x:v>
      </x:c>
      <x:c r="V70" s="12" t="str">
        <x:v>2026 programming is set. The official site offers independent community events, venue-host and volunteer routes, plus info@costartupweek.com; no currently open speaker form was found. Get involved</x:v>
      </x:c>
      <x:c r="W70" s="12" t="str">
        <x:v>Review the public route and decide whether to prepare the indicated talk or demo format.</x:v>
      </x:c>
      <x:c r="X70" s="12" t="str"/>
      <x:c r="Y70" s="12" t="str">
        <x:v>https://www.costartupweek.com/get-involved</x:v>
      </x:c>
    </x:row>
    <x:row r="71" ht="33" customHeight="1">
      <x:c r="A71" s="12" t="n">
        <x:v>67</x:v>
      </x:c>
      <x:c r="B71" s="15" t="n">
        <x:f>ROUND(M71*Scoring!$B$3+N71*Scoring!$B$4+O71*Scoring!$B$5+(6-P71)*Scoring!$B$6+Q71*Scoring!$B$7,3)</x:f>
        <x:v>2.395</x:v>
      </x:c>
      <x:c r="C71" s="12" t="str">
        <x:v>community/meetup</x:v>
      </x:c>
      <x:c r="D71" s="12" t="str">
        <x:v>MLOps Community London / European chapters</x:v>
      </x:c>
      <x:c r="E71" s="12" t="str">
        <x:v>Overseas from March 2027</x:v>
      </x:c>
      <x:c r="F71" s="12" t="str">
        <x:v>London plus Amsterdam, Munich, Edinburgh, Helsinki, Milan, Lisbon and other chapters; in person and online</x:v>
      </x:c>
      <x:c r="G71" s="12" t="str">
        <x:v>remote/online</x:v>
      </x:c>
      <x:c r="H71" s="18"/>
      <x:c r="I71" s="12" t="str">
        <x:v>public form/contact route</x:v>
      </x:c>
      <x:c r="J71" s="18"/>
      <x:c r="K71" s="12" t="str">
        <x:v>The Pager Cried Wolf</x:v>
      </x:c>
      <x:c r="L71" s="12" t="str"/>
      <x:c r="M71" s="12" t="n">
        <x:v>1</x:v>
      </x:c>
      <x:c r="N71" s="12" t="n">
        <x:v>3</x:v>
      </x:c>
      <x:c r="O71" s="12" t="n">
        <x:v>2.38</x:v>
      </x:c>
      <x:c r="P71" s="12" t="n">
        <x:v>2</x:v>
      </x:c>
      <x:c r="Q71" s="12" t="n">
        <x:v>3</x:v>
      </x:c>
      <x:c r="R71" s="12" t="str">
        <x:v>Remote or online participation is available.</x:v>
      </x:c>
      <x:c r="S71" s="12" t="str">
        <x:v>Researcher-rated route and format effort; 1 is easiest and 5 is hardest.</x:v>
      </x:c>
      <x:c r="T71" s="12" t="str">
        <x:v>Recurring program or sponsor/history evidence is visible; no strong comparable audience count was found.</x:v>
      </x:c>
      <x:c r="U71" s="12" t="str">
        <x:v>FI, AS, RT, BM, PA, technical JU</x:v>
      </x:c>
      <x:c r="V71" s="12" t="str">
        <x:v>Join the global community/Slack; speaker suggestions and chapter event contacts are public, but no universal proposal form was verified</x:v>
      </x:c>
      <x:c r="W71" s="12" t="str">
        <x:v>Review the public route and decide whether to prepare the indicated talk or demo format.</x:v>
      </x:c>
      <x:c r="X71" s="12" t="str">
        <x:v>Chapter-specific route, duration, selection and expenses unknown. Do not assume global membership equals local attendance. MLOps Community, official event archive, London waitlist example</x:v>
      </x:c>
      <x:c r="Y71" s="12" t="str">
        <x:v>https://mlops.community/</x:v>
      </x:c>
    </x:row>
    <x:row r="72" ht="33" customHeight="1">
      <x:c r="A72" s="12" t="n">
        <x:v>68</x:v>
      </x:c>
      <x:c r="B72" s="15" t="n">
        <x:f>ROUND(M72*Scoring!$B$3+N72*Scoring!$B$4+O72*Scoring!$B$5+(6-P72)*Scoring!$B$6+Q72*Scoring!$B$7,3)</x:f>
        <x:v>2.41</x:v>
      </x:c>
      <x:c r="C72" s="12" t="str">
        <x:v>conference/event</x:v>
      </x:c>
      <x:c r="D72" s="12" t="str">
        <x:v>Florida Online Innovation Summit</x:v>
      </x:c>
      <x:c r="E72" s="12" t="str">
        <x:v>Florida Online Innovation Summit 2027</x:v>
      </x:c>
      <x:c r="F72" s="12" t="str">
        <x:v>Orlando, USA</x:v>
      </x:c>
      <x:c r="G72" s="12" t="str">
        <x:v>in-person</x:v>
      </x:c>
      <x:c r="H72" s="18" t="n">
        <x:v>46504.5</x:v>
      </x:c>
      <x:c r="I72" s="12" t="str">
        <x:v>announced-not-open</x:v>
      </x:c>
      <x:c r="J72" s="18" t="n">
        <x:v>46332.5</x:v>
      </x:c>
      <x:c r="K72" s="12" t="str">
        <x:v>A Skeptic's Guide to Surviving AI in Education</x:v>
      </x:c>
      <x:c r="L72" s="12" t="str"/>
      <x:c r="M72" s="12" t="n">
        <x:v>1</x:v>
      </x:c>
      <x:c r="N72" s="12" t="n">
        <x:v>4</x:v>
      </x:c>
      <x:c r="O72" s="12" t="n">
        <x:v>1.64</x:v>
      </x:c>
      <x:c r="P72" s="12" t="n">
        <x:v>2</x:v>
      </x:c>
      <x:c r="Q72" s="12" t="n">
        <x:v>3</x:v>
      </x:c>
      <x:c r="R72" s="12" t="str">
        <x:v>Exact preferred city.</x:v>
      </x:c>
      <x:c r="S72" s="12" t="str">
        <x:v>Requires recordings, membership/co-presenter status, real evidence, a demo, or substantial extra material.</x:v>
      </x:c>
      <x:c r="T72" s="12" t="str">
        <x:v>Recurring program or sponsor/history evidence is visible; no strong comparable audience count was found.</x:v>
      </x:c>
      <x:c r="U72" s="12" t="str">
        <x:v>Audience and format match; proposal explicitly asks about impact and measurement; archive contains human-in-loop and AI teaching-assistant sessions</x:v>
      </x:c>
      <x:c r="V72" s="12" t="str">
        <x:v>50-word abstract, 500-word description, impact and measurement, presenter data, audience, format</x:v>
      </x:c>
      <x:c r="W72" s="12" t="str">
        <x:v>Prepare a case-study version with explicit pilot metrics; verify Dan's vendor status and submit after 2026-09-28 by 2026-11-06</x:v>
      </x:c>
      <x:c r="X72" s="12" t="str">
        <x:v>Must present an innovation/practice and how impact is measured; vendor status may trigger co-presenter rule; onsite costs unknown | Dan's vendor/institutional status, travel, compensation, rights, accessibility, and presenter discount unknown</x:v>
      </x:c>
      <x:c r="Y72" s="12" t="str">
        <x:v>https://digitallearning.ucf.edu/ilab/innovation-summit/proposals/</x:v>
      </x:c>
    </x:row>
    <x:row r="73" ht="33" customHeight="1">
      <x:c r="A73" s="12" t="n">
        <x:v>69</x:v>
      </x:c>
      <x:c r="B73" s="15" t="n">
        <x:f>ROUND(M73*Scoring!$B$3+N73*Scoring!$B$4+O73*Scoring!$B$5+(6-P73)*Scoring!$B$6+Q73*Scoring!$B$7,3)</x:f>
        <x:v>2.475</x:v>
      </x:c>
      <x:c r="C73" s="12" t="str">
        <x:v>conference/event</x:v>
      </x:c>
      <x:c r="D73" s="12" t="str">
        <x:v>Conf42</x:v>
      </x:c>
      <x:c r="E73" s="12" t="str">
        <x:v>Conf42 Large Language Models 2027</x:v>
      </x:c>
      <x:c r="F73" s="12" t="str">
        <x:v>Global</x:v>
      </x:c>
      <x:c r="G73" s="12" t="str">
        <x:v>remote</x:v>
      </x:c>
      <x:c r="H73" s="18" t="n">
        <x:v>46548.5</x:v>
      </x:c>
      <x:c r="I73" s="12" t="str">
        <x:v>unknown</x:v>
      </x:c>
      <x:c r="J73" s="18"/>
      <x:c r="K73" s="12" t="str">
        <x:v>Conjure Exactly Enough</x:v>
      </x:c>
      <x:c r="L73" s="12" t="str"/>
      <x:c r="M73" s="12" t="n">
        <x:v>1</x:v>
      </x:c>
      <x:c r="N73" s="12" t="n">
        <x:v>2</x:v>
      </x:c>
      <x:c r="O73" s="12" t="n">
        <x:v>3.1</x:v>
      </x:c>
      <x:c r="P73" s="12" t="n">
        <x:v>2</x:v>
      </x:c>
      <x:c r="Q73" s="12" t="n">
        <x:v>4</x:v>
      </x:c>
      <x:c r="R73" s="12" t="str">
        <x:v>Remote or online participation is available.</x:v>
      </x:c>
      <x:c r="S73" s="12" t="str">
        <x:v>Standard public proposal or organizer route with no hard requirement found.</x:v>
      </x:c>
      <x:c r="T73" s="12" t="str">
        <x:v>Recurring program or sponsor/history evidence is visible; no strong comparable audience count was found.</x:v>
      </x:c>
      <x:c r="U73" s="12" t="str">
        <x:v>Relevant online LLM audience; weaker than dedicated agent edition.</x:v>
      </x:c>
      <x:c r="V73" s="12" t="str"/>
      <x:c r="W73" s="12" t="str">
        <x:v>Monitor edition page and prioritize Conf42 AI Agents if both routes open.</x:v>
      </x:c>
      <x:c r="X73" s="12" t="str">
        <x:v>Edition-specific intake/deadline and rights unverified. | Deadline, economics, duration, and rights unknown.</x:v>
      </x:c>
      <x:c r="Y73" s="12" t="str">
        <x:v>https://www.conf42.com/</x:v>
      </x:c>
    </x:row>
    <x:row r="74" ht="33" customHeight="1">
      <x:c r="A74" s="12" t="n">
        <x:v>70</x:v>
      </x:c>
      <x:c r="B74" s="15" t="n">
        <x:f>ROUND(M74*Scoring!$B$3+N74*Scoring!$B$4+O74*Scoring!$B$5+(6-P74)*Scoring!$B$6+Q74*Scoring!$B$7,3)</x:f>
        <x:v>2.475</x:v>
      </x:c>
      <x:c r="C74" s="12" t="str">
        <x:v>conference/event</x:v>
      </x:c>
      <x:c r="D74" s="12" t="str">
        <x:v>Conf42</x:v>
      </x:c>
      <x:c r="E74" s="12" t="str">
        <x:v>Conf42 Platform Engineering 2027</x:v>
      </x:c>
      <x:c r="F74" s="12" t="str">
        <x:v>Global</x:v>
      </x:c>
      <x:c r="G74" s="12" t="str">
        <x:v>remote</x:v>
      </x:c>
      <x:c r="H74" s="18" t="n">
        <x:v>46709.5</x:v>
      </x:c>
      <x:c r="I74" s="12" t="str">
        <x:v>unknown</x:v>
      </x:c>
      <x:c r="J74" s="18"/>
      <x:c r="K74" s="12" t="str">
        <x:v>Conjure Exactly Enough</x:v>
      </x:c>
      <x:c r="L74" s="12" t="str"/>
      <x:c r="M74" s="12" t="n">
        <x:v>1</x:v>
      </x:c>
      <x:c r="N74" s="12" t="n">
        <x:v>2</x:v>
      </x:c>
      <x:c r="O74" s="12" t="n">
        <x:v>3.1</x:v>
      </x:c>
      <x:c r="P74" s="12" t="n">
        <x:v>2</x:v>
      </x:c>
      <x:c r="Q74" s="12" t="n">
        <x:v>4</x:v>
      </x:c>
      <x:c r="R74" s="12" t="str">
        <x:v>Remote or online participation is available.</x:v>
      </x:c>
      <x:c r="S74" s="12" t="str">
        <x:v>Standard public proposal or organizer route with no hard requirement found.</x:v>
      </x:c>
      <x:c r="T74" s="12" t="str">
        <x:v>Recurring program or sponsor/history evidence is visible; no strong comparable audience count was found.</x:v>
      </x:c>
      <x:c r="U74" s="12" t="str">
        <x:v>Relevant to platform practitioners if reframed away from generic agent design.</x:v>
      </x:c>
      <x:c r="V74" s="12" t="str"/>
      <x:c r="W74" s="12" t="str">
        <x:v>Monitor; build a platform-specific abstract only after the AI Agents route is resolved.</x:v>
      </x:c>
      <x:c r="X74" s="12" t="str">
        <x:v>Edition-specific intake/deadline and rights unverified; late horizon. | Deadline, economics, duration, and rights unknown; must pitch planner as a platform control plane.</x:v>
      </x:c>
      <x:c r="Y74" s="12" t="str">
        <x:v>https://www.conf42.com/</x:v>
      </x:c>
    </x:row>
    <x:row r="75" ht="33" customHeight="1">
      <x:c r="A75" s="12" t="n">
        <x:v>71</x:v>
      </x:c>
      <x:c r="B75" s="15" t="n">
        <x:f>ROUND(M75*Scoring!$B$3+N75*Scoring!$B$4+O75*Scoring!$B$5+(6-P75)*Scoring!$B$6+Q75*Scoring!$B$7,3)</x:f>
        <x:v>2.495</x:v>
      </x:c>
      <x:c r="C75" s="12" t="str">
        <x:v>community/meetup</x:v>
      </x:c>
      <x:c r="D75" s="12" t="str">
        <x:v>Springs Data &amp; AI</x:v>
      </x:c>
      <x:c r="E75" s="12" t="str">
        <x:v>Denver/Colorado</x:v>
      </x:c>
      <x:c r="F75" s="12" t="str">
        <x:v>Colorado Springs; in person</x:v>
      </x:c>
      <x:c r="G75" s="12" t="str">
        <x:v>in-person</x:v>
      </x:c>
      <x:c r="H75" s="18"/>
      <x:c r="I75" s="12" t="str">
        <x:v>public form/contact route</x:v>
      </x:c>
      <x:c r="J75" s="18"/>
      <x:c r="K75" s="12" t="str">
        <x:v>Conjure Exactly Enough</x:v>
      </x:c>
      <x:c r="L75" s="12" t="str"/>
      <x:c r="M75" s="12" t="n">
        <x:v>2</x:v>
      </x:c>
      <x:c r="N75" s="12" t="n">
        <x:v>2</x:v>
      </x:c>
      <x:c r="O75" s="12" t="n">
        <x:v>2.38</x:v>
      </x:c>
      <x:c r="P75" s="12" t="n">
        <x:v>2</x:v>
      </x:c>
      <x:c r="Q75" s="12" t="n">
        <x:v>3</x:v>
      </x:c>
      <x:c r="R75" s="12" t="str">
        <x:v>Near a preferred city or within the Denver/Front Range area.</x:v>
      </x:c>
      <x:c r="S75" s="12" t="str">
        <x:v>Researcher-rated route and format effort; 1 is easiest and 5 is hardest.</x:v>
      </x:c>
      <x:c r="T75" s="12" t="str">
        <x:v>Public organizer/platform signal of at least 459.</x:v>
      </x:c>
      <x:c r="U75" s="12" t="str">
        <x:v>Adaptive, Retrieval, Benchmarks, Education, and general AI literacy</x:v>
      </x:c>
      <x:c r="V75" s="12" t="str">
        <x:v>Message organizers on the Meetup page; no formal speaker form found</x:v>
      </x:c>
      <x:c r="W75" s="12" t="str">
        <x:v>Review the public route and decide whether to prepare the indicated talk or demo format.</x:v>
      </x:c>
      <x:c r="X75" s="12" t="str"/>
      <x:c r="Y75" s="12" t="str">
        <x:v>https://www.meetup.com/springs-data-and-ai/</x:v>
      </x:c>
    </x:row>
    <x:row r="76" ht="33" customHeight="1">
      <x:c r="A76" s="12" t="n">
        <x:v>72</x:v>
      </x:c>
      <x:c r="B76" s="15" t="n">
        <x:f>ROUND(M76*Scoring!$B$3+N76*Scoring!$B$4+O76*Scoring!$B$5+(6-P76)*Scoring!$B$6+Q76*Scoring!$B$7,3)</x:f>
        <x:v>2.51</x:v>
      </x:c>
      <x:c r="C76" s="12" t="str">
        <x:v>conference/event</x:v>
      </x:c>
      <x:c r="D76" s="12" t="str">
        <x:v>DevOpsDays Raleigh</x:v>
      </x:c>
      <x:c r="E76" s="12" t="str">
        <x:v>DevOpsDays Raleigh 2027</x:v>
      </x:c>
      <x:c r="F76" s="12" t="str">
        <x:v>Raleigh, USA</x:v>
      </x:c>
      <x:c r="G76" s="12" t="str">
        <x:v>in-person</x:v>
      </x:c>
      <x:c r="H76" s="18" t="n">
        <x:v>46504.5</x:v>
      </x:c>
      <x:c r="I76" s="12" t="str">
        <x:v>open</x:v>
      </x:c>
      <x:c r="J76" s="18" t="n">
        <x:v>46388.5</x:v>
      </x:c>
      <x:c r="K76" s="12" t="str">
        <x:v>Buy Me a Free Tier</x:v>
      </x:c>
      <x:c r="L76" s="12" t="str">
        <x:v>retrieval</x:v>
      </x:c>
      <x:c r="M76" s="12" t="n">
        <x:v>3</x:v>
      </x:c>
      <x:c r="N76" s="12" t="n">
        <x:v>2</x:v>
      </x:c>
      <x:c r="O76" s="12" t="n">
        <x:v>2.44</x:v>
      </x:c>
      <x:c r="P76" s="12" t="n">
        <x:v>4</x:v>
      </x:c>
      <x:c r="Q76" s="12" t="n">
        <x:v>3</x:v>
      </x:c>
      <x:c r="R76" s="12" t="str">
        <x:v>Other domestic location.</x:v>
      </x:c>
      <x:c r="S76" s="12" t="str">
        <x:v>Standard public proposal or organizer route with no hard requirement found.</x:v>
      </x:c>
      <x:c r="T76" s="12" t="str">
        <x:v>Established recurring conference or community series with visible program history.</x:v>
      </x:c>
      <x:c r="U76" s="12" t="str">
        <x:v>DevOps and platform practitioners face cloud-cost and dependency risk; 30-minute slot fits.</x:v>
      </x:c>
      <x:c r="V76" s="12" t="str">
        <x:v>Google Form; original content preferred</x:v>
      </x:c>
      <x:c r="W76" s="12" t="str">
        <x:v>Verify form fields and presenter economics, then tailor to operational decisions rather than SaaS strategy.</x:v>
      </x:c>
      <x:c r="X76" s="12" t="str">
        <x:v>FINALIST; local voices favored; official notification date is erroneous; no proprietary case study supplied | Official notification date precedes deadline and is unusable; economics, rights, accessibility, and travel unknown | Official notification date precedes deadline and is unusable; economics, rights, accessibility, travel | MERGE CONFLICTS/VARIANTS — eligibility: Speaker must submit directly; local and underrepresented voices favored; no vendor pitches | Direct speaker involvement; local and underrepresented voices favored; no vendor pitches</x:v>
      </x:c>
      <x:c r="Y76" s="12" t="str">
        <x:v>https://devopsdays.org/events/2027-raleigh/propose/</x:v>
      </x:c>
    </x:row>
    <x:row r="77" ht="33" customHeight="1">
      <x:c r="A77" s="12" t="n">
        <x:v>73</x:v>
      </x:c>
      <x:c r="B77" s="15" t="n">
        <x:f>ROUND(M77*Scoring!$B$3+N77*Scoring!$B$4+O77*Scoring!$B$5+(6-P77)*Scoring!$B$6+Q77*Scoring!$B$7,3)</x:f>
        <x:v>2.523</x:v>
      </x:c>
      <x:c r="C77" s="12" t="str">
        <x:v>conference/event</x:v>
      </x:c>
      <x:c r="D77" s="12" t="str">
        <x:v>EuroSTAR Software Testing Conference</x:v>
      </x:c>
      <x:c r="E77" s="12" t="str">
        <x:v>EuroSTAR 2027</x:v>
      </x:c>
      <x:c r="F77" s="12" t="str">
        <x:v>Copenhagen, Denmark</x:v>
      </x:c>
      <x:c r="G77" s="12" t="str">
        <x:v>in-person</x:v>
      </x:c>
      <x:c r="H77" s="18" t="n">
        <x:v>46518.5</x:v>
      </x:c>
      <x:c r="I77" s="12" t="str">
        <x:v>open</x:v>
      </x:c>
      <x:c r="J77" s="18" t="n">
        <x:v>46295.5</x:v>
      </x:c>
      <x:c r="K77" s="12" t="str">
        <x:v>Stop Looking at My Benchmarks… Get Your Own!</x:v>
      </x:c>
      <x:c r="L77" s="12" t="str">
        <x:v>failure-improvement</x:v>
      </x:c>
      <x:c r="M77" s="12" t="n">
        <x:v>4</x:v>
      </x:c>
      <x:c r="N77" s="12" t="n">
        <x:v>2</x:v>
      </x:c>
      <x:c r="O77" s="12" t="n">
        <x:v>1.69</x:v>
      </x:c>
      <x:c r="P77" s="12" t="n">
        <x:v>4</x:v>
      </x:c>
      <x:c r="Q77" s="12" t="n">
        <x:v>2</x:v>
      </x:c>
      <x:c r="R77" s="12" t="str">
        <x:v>Overseas at or after the stated six-to-nine-month travel window, or an undated future overseas route.</x:v>
      </x:c>
      <x:c r="S77" s="12" t="str">
        <x:v>Standard public proposal or organizer route with no hard requirement found.</x:v>
      </x:c>
      <x:c r="T77" s="12" t="str">
        <x:v>Established recurring conference or community series with visible program history.</x:v>
      </x:c>
      <x:c r="U77" s="12" t="str">
        <x:v>Theme emphasizes context, risk, choosing the right technique, AI, observability, and actionable practitioner takeaways</x:v>
      </x:c>
      <x:c r="V77" s="12" t="str">
        <x:v>Proposal aligned to 2027 theme 'Sharpening the Craft'; failures, AI, automation and practical takeaways welcomed.</x:v>
      </x:c>
      <x:c r="W77" s="12" t="str">
        <x:v>Confirm talk type/duration and prepare an experience-led abstract</x:v>
      </x:c>
      <x:c r="X77" s="12" t="str">
        <x:v>Personal experience is expected; current duration and speaker terms unresolved | Speaker economics, current durations, recording rights, accessibility, and deadline time zone unknown | Current format durations, economics, rights, accessibility, attendance and multiple-submission rules unknown. | MERGE CONFLICTS/VARIANTS — date_status: exact | confirmed; eligibility: Public call; practitioner stories and practical lessons encouraged. | Practitioner experience and personal stories expected; formats_and_durations: Current exact session duration not found; talks and workshops requested. | Talk types listed; exact current durations not captured; submission_requirements: Proposal aligned to 2027 theme 'Sharpening the Craft'; failures, AI, automation and practical takeaways welcomed. | Proposal with tangible takeaways and personal experience; verified_at: 2026-09-04T23:40:00-06:00 | 2026-09-04T23:00:00-06:00</x:v>
      </x:c>
      <x:c r="Y77" s="12" t="str">
        <x:v>https://conference.eurostarsoftwaretesting.com/call-for-submissions/</x:v>
      </x:c>
    </x:row>
    <x:row r="78" ht="33" customHeight="1">
      <x:c r="A78" s="12" t="n">
        <x:v>74</x:v>
      </x:c>
      <x:c r="B78" s="15" t="n">
        <x:f>ROUND(M78*Scoring!$B$3+N78*Scoring!$B$4+O78*Scoring!$B$5+(6-P78)*Scoring!$B$6+Q78*Scoring!$B$7,3)</x:f>
        <x:v>2.577</x:v>
      </x:c>
      <x:c r="C78" s="12" t="str">
        <x:v>conference/event</x:v>
      </x:c>
      <x:c r="D78" s="12" t="str">
        <x:v>AGNTCon + MCPCon North America</x:v>
      </x:c>
      <x:c r="E78" s="12" t="str">
        <x:v>AGNTCon + MCPCon North America 2027</x:v>
      </x:c>
      <x:c r="F78" s="12" t="str">
        <x:v>San Francisco, United States</x:v>
      </x:c>
      <x:c r="G78" s="12" t="str">
        <x:v>in-person</x:v>
      </x:c>
      <x:c r="H78" s="18" t="n">
        <x:v>46505.5</x:v>
      </x:c>
      <x:c r="I78" s="12" t="str">
        <x:v>announced-not-open</x:v>
      </x:c>
      <x:c r="J78" s="18"/>
      <x:c r="K78" s="12" t="str">
        <x:v>Conjure Exactly Enough</x:v>
      </x:c>
      <x:c r="L78" s="12" t="str"/>
      <x:c r="M78" s="12" t="n">
        <x:v>1</x:v>
      </x:c>
      <x:c r="N78" s="12" t="n">
        <x:v>2</x:v>
      </x:c>
      <x:c r="O78" s="12" t="n">
        <x:v>3.31</x:v>
      </x:c>
      <x:c r="P78" s="12" t="n">
        <x:v>1</x:v>
      </x:c>
      <x:c r="Q78" s="12" t="n">
        <x:v>3</x:v>
      </x:c>
      <x:c r="R78" s="12" t="str">
        <x:v>Exact preferred city.</x:v>
      </x:c>
      <x:c r="S78" s="12" t="str">
        <x:v>Standard public proposal or organizer route with no hard requirement found.</x:v>
      </x:c>
      <x:c r="T78" s="12" t="str">
        <x:v>Little public popularity evidence beyond the event or route itself.</x:v>
      </x:c>
      <x:c r="U78" s="12" t="str">
        <x:v>Direct agent/MCP venue announced by Linux Foundation; details forthcoming.</x:v>
      </x:c>
      <x:c r="V78" s="12" t="str"/>
      <x:c r="W78" s="12" t="str">
        <x:v>Check official Linux Foundation event calendar and event page for CFP publication.</x:v>
      </x:c>
      <x:c r="X78" s="12" t="str">
        <x:v>No CFP, format, rules, or economics published. | Official calendar says CFP details coming soon; route, formats, and economics unknown.</x:v>
      </x:c>
      <x:c r="Y78" s="12" t="str">
        <x:v>https://events.linuxfoundation.org/about/calendar/</x:v>
      </x:c>
    </x:row>
    <x:row r="79" ht="33" customHeight="1">
      <x:c r="A79" s="12" t="n">
        <x:v>75</x:v>
      </x:c>
      <x:c r="B79" s="15" t="n">
        <x:f>ROUND(M79*Scoring!$B$3+N79*Scoring!$B$4+O79*Scoring!$B$5+(6-P79)*Scoring!$B$6+Q79*Scoring!$B$7,3)</x:f>
        <x:v>2.595</x:v>
      </x:c>
      <x:c r="C79" s="12" t="str">
        <x:v>community/meetup</x:v>
      </x:c>
      <x:c r="D79" s="12" t="str">
        <x:v>AI Tinkerers New York City</x:v>
      </x:c>
      <x:c r="E79" s="12" t="str">
        <x:v>Preferred US cities</x:v>
      </x:c>
      <x:c r="F79" s="12" t="str">
        <x:v>New York City; in person</x:v>
      </x:c>
      <x:c r="G79" s="12" t="str">
        <x:v>in-person</x:v>
      </x:c>
      <x:c r="H79" s="18" t="n">
        <x:v>46277.5</x:v>
      </x:c>
      <x:c r="I79" s="12" t="str">
        <x:v>public form/contact route</x:v>
      </x:c>
      <x:c r="J79" s="18"/>
      <x:c r="K79" s="12" t="str">
        <x:v>Conjure Exactly Enough</x:v>
      </x:c>
      <x:c r="L79" s="12" t="str"/>
      <x:c r="M79" s="12" t="n">
        <x:v>1</x:v>
      </x:c>
      <x:c r="N79" s="12" t="n">
        <x:v>4</x:v>
      </x:c>
      <x:c r="O79" s="12" t="n">
        <x:v>2.38</x:v>
      </x:c>
      <x:c r="P79" s="12" t="n">
        <x:v>2</x:v>
      </x:c>
      <x:c r="Q79" s="12" t="n">
        <x:v>3</x:v>
      </x:c>
      <x:c r="R79" s="12" t="str">
        <x:v>Exact preferred city.</x:v>
      </x:c>
      <x:c r="S79" s="12" t="str">
        <x:v>Researcher-rated route and format effort; 1 is easiest and 5 is hardest.</x:v>
      </x:c>
      <x:c r="T79" s="12" t="str">
        <x:v>Public organizer/platform signal of at least 302.</x:v>
      </x:c>
      <x:c r="U79" s="12" t="str">
        <x:v>Adaptive, Retrieval, Benchmarks, Parallelization, and Failure as live code or a working prototype</x:v>
      </x:c>
      <x:c r="V79" s="12" t="str">
        <x:v>Register for an event, then submit its demo form if enabled. A prior official form used five-minute, no-deck demos and selected four or five presenters. Current chapter · speaker-form example</x:v>
      </x:c>
      <x:c r="W79" s="12" t="str">
        <x:v>Review the public route and decide whether to prepare the indicated talk or demo format.</x:v>
      </x:c>
      <x:c r="X79" s="12" t="str">
        <x:v>The September event's speaking mechanism, demo requirements, and selection capacity.</x:v>
      </x:c>
      <x:c r="Y79" s="12" t="str">
        <x:v>https://nyc.aitinkerers.org/</x:v>
      </x:c>
    </x:row>
    <x:row r="80" ht="33" customHeight="1">
      <x:c r="A80" s="12" t="n">
        <x:v>76</x:v>
      </x:c>
      <x:c r="B80" s="15" t="n">
        <x:f>ROUND(M80*Scoring!$B$3+N80*Scoring!$B$4+O80*Scoring!$B$5+(6-P80)*Scoring!$B$6+Q80*Scoring!$B$7,3)</x:f>
        <x:v>2.595</x:v>
      </x:c>
      <x:c r="C80" s="12" t="str">
        <x:v>community/meetup</x:v>
      </x:c>
      <x:c r="D80" s="12" t="str">
        <x:v>AI Tinkerers San Diego</x:v>
      </x:c>
      <x:c r="E80" s="12" t="str">
        <x:v>Preferred US cities</x:v>
      </x:c>
      <x:c r="F80" s="12" t="str">
        <x:v>San Diego; in person</x:v>
      </x:c>
      <x:c r="G80" s="12" t="str">
        <x:v>in-person</x:v>
      </x:c>
      <x:c r="H80" s="18" t="n">
        <x:v>46277.5</x:v>
      </x:c>
      <x:c r="I80" s="12" t="str">
        <x:v>public form/contact route</x:v>
      </x:c>
      <x:c r="J80" s="18"/>
      <x:c r="K80" s="12" t="str">
        <x:v>Conjure Exactly Enough</x:v>
      </x:c>
      <x:c r="L80" s="12" t="str"/>
      <x:c r="M80" s="12" t="n">
        <x:v>1</x:v>
      </x:c>
      <x:c r="N80" s="12" t="n">
        <x:v>4</x:v>
      </x:c>
      <x:c r="O80" s="12" t="n">
        <x:v>2.38</x:v>
      </x:c>
      <x:c r="P80" s="12" t="n">
        <x:v>2</x:v>
      </x:c>
      <x:c r="Q80" s="12" t="n">
        <x:v>3</x:v>
      </x:c>
      <x:c r="R80" s="12" t="str">
        <x:v>Exact preferred city.</x:v>
      </x:c>
      <x:c r="S80" s="12" t="str">
        <x:v>Researcher-rated route and format effort; 1 is easiest and 5 is hardest.</x:v>
      </x:c>
      <x:c r="T80" s="12" t="str">
        <x:v>Public organizer/platform signal of at least 219.</x:v>
      </x:c>
      <x:c r="U80" s="12" t="str">
        <x:v>Adaptive, Retrieval, Benchmarks, Parallelization, and Failure as working demos</x:v>
      </x:c>
      <x:c r="V80" s="12" t="str">
        <x:v>Use the event-level Submit Your Demo Proposal route. Prior calls asked for five-to-seven-minute live implementation demos and deep technical Q&amp;A. Chapter · Google-hosted example</x:v>
      </x:c>
      <x:c r="W80" s="12" t="str">
        <x:v>Review the public route and decide whether to prepare the indicated talk or demo format.</x:v>
      </x:c>
      <x:c r="X80" s="12" t="str">
        <x:v>Next demo-night date, current proposal form, capacity, and travel-speaker handling.</x:v>
      </x:c>
      <x:c r="Y80" s="12" t="str">
        <x:v>https://san-diego.aitinkerers.org/</x:v>
      </x:c>
    </x:row>
    <x:row r="81" ht="33" customHeight="1">
      <x:c r="A81" s="12" t="n">
        <x:v>77</x:v>
      </x:c>
      <x:c r="B81" s="15" t="n">
        <x:f>ROUND(M81*Scoring!$B$3+N81*Scoring!$B$4+O81*Scoring!$B$5+(6-P81)*Scoring!$B$6+Q81*Scoring!$B$7,3)</x:f>
        <x:v>2.595</x:v>
      </x:c>
      <x:c r="C81" s="12" t="str">
        <x:v>community/meetup</x:v>
      </x:c>
      <x:c r="D81" s="12" t="str">
        <x:v>ProductTank digital and international chapters</x:v>
      </x:c>
      <x:c r="E81" s="12" t="str">
        <x:v>Overseas from March 2027</x:v>
      </x:c>
      <x:c r="F81" s="12" t="str">
        <x:v>Digital plus 200+ cities including London, Amsterdam, Berlin, Paris, Singapore, Toronto, Sydney and Melbourne</x:v>
      </x:c>
      <x:c r="G81" s="12" t="str">
        <x:v>in-person</x:v>
      </x:c>
      <x:c r="H81" s="18"/>
      <x:c r="I81" s="12" t="str">
        <x:v>public form/contact route</x:v>
      </x:c>
      <x:c r="J81" s="18"/>
      <x:c r="K81" s="12" t="str">
        <x:v>Break the Mirror on Purpose</x:v>
      </x:c>
      <x:c r="L81" s="12" t="str"/>
      <x:c r="M81" s="12" t="n">
        <x:v>3</x:v>
      </x:c>
      <x:c r="N81" s="12" t="n">
        <x:v>1</x:v>
      </x:c>
      <x:c r="O81" s="12" t="n">
        <x:v>2.38</x:v>
      </x:c>
      <x:c r="P81" s="12" t="n">
        <x:v>2</x:v>
      </x:c>
      <x:c r="Q81" s="12" t="n">
        <x:v>3</x:v>
      </x:c>
      <x:c r="R81" s="12" t="str">
        <x:v>Other domestic location.</x:v>
      </x:c>
      <x:c r="S81" s="12" t="str">
        <x:v>Researcher-rated route and format effort; 1 is easiest and 5 is hardest.</x:v>
      </x:c>
      <x:c r="T81" s="12" t="str">
        <x:v>Recurring program or sponsor/history evidence is visible; no strong comparable audience count was found.</x:v>
      </x:c>
      <x:c r="U81" s="12" t="str">
        <x:v>PE, JU, FT; selected EL/SE variants for product-education audiences</x:v>
      </x:c>
      <x:c r="V81" s="12" t="str">
        <x:v>Standing speaker directory lets volunteer organizers find speakers for digital events</x:v>
      </x:c>
      <x:c r="W81" s="12" t="str">
        <x:v>Review the public route and decide whether to prepare the indicated talk or demo format.</x:v>
      </x:c>
      <x:c r="X81" s="12" t="str">
        <x:v>No guaranteed booking, edition, duration, compensation or travel support; location preferences remain unknown. network and speaker directory, speaker-directory instructions</x:v>
      </x:c>
      <x:c r="Y81" s="12" t="str">
        <x:v>https://www.mindtheproduct.com/producttank/</x:v>
      </x:c>
    </x:row>
    <x:row r="82" ht="33" customHeight="1">
      <x:c r="A82" s="12" t="n">
        <x:v>78</x:v>
      </x:c>
      <x:c r="B82" s="15" t="n">
        <x:f>ROUND(M82*Scoring!$B$3+N82*Scoring!$B$4+O82*Scoring!$B$5+(6-P82)*Scoring!$B$6+Q82*Scoring!$B$7,3)</x:f>
        <x:v>2.63</x:v>
      </x:c>
      <x:c r="C82" s="12" t="str">
        <x:v>conference/event</x:v>
      </x:c>
      <x:c r="D82" s="12" t="str">
        <x:v>BACon</x:v>
      </x:c>
      <x:c r="E82" s="12" t="str">
        <x:v>BACon 2027</x:v>
      </x:c>
      <x:c r="F82" s="12" t="str">
        <x:v>Columbus, United States</x:v>
      </x:c>
      <x:c r="G82" s="12" t="str">
        <x:v>in-person</x:v>
      </x:c>
      <x:c r="H82" s="18" t="n">
        <x:v>46444.5</x:v>
      </x:c>
      <x:c r="I82" s="12" t="str">
        <x:v>open</x:v>
      </x:c>
      <x:c r="J82" s="18" t="n">
        <x:v>46310.5</x:v>
      </x:c>
      <x:c r="K82" s="12" t="str">
        <x:v>Break the Mirror on Purpose</x:v>
      </x:c>
      <x:c r="L82" s="12" t="str">
        <x:v>judgment</x:v>
      </x:c>
      <x:c r="M82" s="12" t="n">
        <x:v>3</x:v>
      </x:c>
      <x:c r="N82" s="12" t="n">
        <x:v>2</x:v>
      </x:c>
      <x:c r="O82" s="12" t="n">
        <x:v>1.52</x:v>
      </x:c>
      <x:c r="P82" s="12" t="n">
        <x:v>1</x:v>
      </x:c>
      <x:c r="Q82" s="12" t="n">
        <x:v>2</x:v>
      </x:c>
      <x:c r="R82" s="12" t="str">
        <x:v>Other domestic location.</x:v>
      </x:c>
      <x:c r="S82" s="12" t="str">
        <x:v>Standard public proposal or organizer route with no hard requirement found.</x:v>
      </x:c>
      <x:c r="T82" s="12" t="str">
        <x:v>Little public popularity evidence beyond the event or route itself.</x:v>
      </x:c>
      <x:c r="U82" s="12" t="str">
        <x:v>Regional audience explicitly spans product, AI and better outcomes; public CFP welcomes practical ideas and lessons.</x:v>
      </x:c>
      <x:c r="V82" s="12" t="str">
        <x:v>Abstract, practical takeaway, audience level and real-world relevance.</x:v>
      </x:c>
      <x:c r="W82" s="12" t="str">
        <x:v>Verify duration and 2027 speaker-pass wording, then submit by October 15.</x:v>
      </x:c>
      <x:c r="X82" s="12" t="str">
        <x:v>No prior-program evidence captured; duration wording incomplete; page has a 2026/2027 benefit typo. | Event page incorrectly says BACon 2026 for complimentary registration; verify benefit applies to 2027. Format durations, rights, accessibility and attendance unknown.</x:v>
      </x:c>
      <x:c r="Y82" s="12" t="str">
        <x:v>https://sessionize.com/bacon-2027/</x:v>
      </x:c>
    </x:row>
    <x:row r="83" ht="33" customHeight="1">
      <x:c r="A83" s="12" t="n">
        <x:v>79</x:v>
      </x:c>
      <x:c r="B83" s="15" t="n">
        <x:f>ROUND(M83*Scoring!$B$3+N83*Scoring!$B$4+O83*Scoring!$B$5+(6-P83)*Scoring!$B$6+Q83*Scoring!$B$7,3)</x:f>
        <x:v>2.65</x:v>
      </x:c>
      <x:c r="C83" s="12" t="str">
        <x:v>conference/event</x:v>
      </x:c>
      <x:c r="D83" s="12" t="str">
        <x:v>Dutch AI Conference</x:v>
      </x:c>
      <x:c r="E83" s="12" t="str">
        <x:v>Dutch AI Conference 2027</x:v>
      </x:c>
      <x:c r="F83" s="12" t="str">
        <x:v>Amsterdam, Netherlands</x:v>
      </x:c>
      <x:c r="G83" s="12" t="str">
        <x:v>in-person</x:v>
      </x:c>
      <x:c r="H83" s="18" t="n">
        <x:v>46462.5</x:v>
      </x:c>
      <x:c r="I83" s="12" t="str">
        <x:v>open</x:v>
      </x:c>
      <x:c r="J83" s="18" t="n">
        <x:v>46374.5</x:v>
      </x:c>
      <x:c r="K83" s="12" t="str">
        <x:v>Three Search Methods in a Fundable Trenchcoat</x:v>
      </x:c>
      <x:c r="L83" s="12" t="str"/>
      <x:c r="M83" s="12" t="n">
        <x:v>4</x:v>
      </x:c>
      <x:c r="N83" s="12" t="n">
        <x:v>2</x:v>
      </x:c>
      <x:c r="O83" s="12" t="n">
        <x:v>1.2</x:v>
      </x:c>
      <x:c r="P83" s="12" t="n">
        <x:v>3</x:v>
      </x:c>
      <x:c r="Q83" s="12" t="n">
        <x:v>3</x:v>
      </x:c>
      <x:c r="R83" s="12" t="str">
        <x:v>Overseas at or after the stated six-to-nine-month travel window, or an undated future overseas route.</x:v>
      </x:c>
      <x:c r="S83" s="12" t="str">
        <x:v>Standard public proposal or organizer route with no hard requirement found.</x:v>
      </x:c>
      <x:c r="T83" s="12" t="str">
        <x:v>Public organizer/platform signal of at least 500.</x:v>
      </x:c>
      <x:c r="U83" s="12" t="str">
        <x:v>Exact developer/architect audience; past program has RAG, vector-search, and MCP sessions.</x:v>
      </x:c>
      <x:c r="V83" s="12" t="str">
        <x:v>Concise anonymous abstract; original practical no-nonsense content favored</x:v>
      </x:c>
      <x:c r="W83" s="12" t="str">
        <x:v>Differentiate from implementation tutorials by making analogy boundaries and failure localization the central promise.</x:v>
      </x:c>
      <x:c r="X83" s="12" t="str">
        <x:v>FINALIST; event dates conflict within official page; duration unknown; topic saturation is high | Page headline/footer say March 16–18 while a highlight says workshop March 10–11 and main conference March 12; format duration, rights, accessibility</x:v>
      </x:c>
      <x:c r="Y83" s="12" t="str">
        <x:v>https://aiconference.nl/meet-the-speakers/call-for-presentations/</x:v>
      </x:c>
    </x:row>
    <x:row r="84" ht="33" customHeight="1">
      <x:c r="A84" s="12" t="n">
        <x:v>80</x:v>
      </x:c>
      <x:c r="B84" s="15" t="n">
        <x:f>ROUND(M84*Scoring!$B$3+N84*Scoring!$B$4+O84*Scoring!$B$5+(6-P84)*Scoring!$B$6+Q84*Scoring!$B$7,3)</x:f>
        <x:v>2.667</x:v>
      </x:c>
      <x:c r="C84" s="12" t="str">
        <x:v>conference/event</x:v>
      </x:c>
      <x:c r="D84" s="12" t="str">
        <x:v>Ohio State Learning Design Day: Fresh Ideas</x:v>
      </x:c>
      <x:c r="E84" s="12" t="str">
        <x:v>Ohio State Learning Design Day 2027</x:v>
      </x:c>
      <x:c r="F84" s="12" t="str">
        <x:v>Columbus, United States</x:v>
      </x:c>
      <x:c r="G84" s="12" t="str">
        <x:v>in-person</x:v>
      </x:c>
      <x:c r="H84" s="18" t="n">
        <x:v>46520.5</x:v>
      </x:c>
      <x:c r="I84" s="12" t="str">
        <x:v>open</x:v>
      </x:c>
      <x:c r="J84" s="18" t="n">
        <x:v>46341.5</x:v>
      </x:c>
      <x:c r="K84" s="12" t="str">
        <x:v>Outsmart Your Lying, Cheating Students</x:v>
      </x:c>
      <x:c r="L84" s="12" t="str"/>
      <x:c r="M84" s="12" t="n">
        <x:v>3</x:v>
      </x:c>
      <x:c r="N84" s="12" t="n">
        <x:v>2</x:v>
      </x:c>
      <x:c r="O84" s="12" t="n">
        <x:v>1.87</x:v>
      </x:c>
      <x:c r="P84" s="12" t="n">
        <x:v>2</x:v>
      </x:c>
      <x:c r="Q84" s="12" t="n">
        <x:v>3</x:v>
      </x:c>
      <x:c r="R84" s="12" t="str">
        <x:v>Other domestic location.</x:v>
      </x:c>
      <x:c r="S84" s="12" t="str">
        <x:v>Standard public proposal or organizer route with no hard requirement found.</x:v>
      </x:c>
      <x:c r="T84" s="12" t="str">
        <x:v>Recurring program or sponsor/history evidence is visible; no strong comparable audience count was found.</x:v>
      </x:c>
      <x:c r="U84" s="12" t="str">
        <x:v>Inaugural event explicitly seeks AI, assessment, instructional effectiveness, and accessible deliverables in a 45-50 minute format.</x:v>
      </x:c>
      <x:c r="V84" s="12" t="str">
        <x:v>Title; track; &lt;=500-word abstract; &lt;=50-word description; format; 1-3 objectives; technology needs; facilitators; accessibility integrated</x:v>
      </x:c>
      <x:c r="W84" s="12" t="str">
        <x:v>Adapt the four-minute exercise into a fuller redesign activity and make accessible alternatives explicit in every objective/material.</x:v>
      </x:c>
      <x:c r="X84" s="12" t="str">
        <x:v>FINALIST; no history; in-person only; compensation and costs unstated | No history; deadline year is implied by the 2027 page; compensation, travel, speaker costs, and rights unknown.</x:v>
      </x:c>
      <x:c r="Y84" s="12" t="str">
        <x:v>https://cete.osu.edu/ohio-state-learning-design-day-call-for-proposals/</x:v>
      </x:c>
    </x:row>
    <x:row r="85" ht="33" customHeight="1">
      <x:c r="A85" s="12" t="n">
        <x:v>81</x:v>
      </x:c>
      <x:c r="B85" s="15" t="n">
        <x:f>ROUND(M85*Scoring!$B$3+N85*Scoring!$B$4+O85*Scoring!$B$5+(6-P85)*Scoring!$B$6+Q85*Scoring!$B$7,3)</x:f>
        <x:v>2.673</x:v>
      </x:c>
      <x:c r="C85" s="12" t="str">
        <x:v>conference/event</x:v>
      </x:c>
      <x:c r="D85" s="12" t="str">
        <x:v>JavaLand</x:v>
      </x:c>
      <x:c r="E85" s="12" t="str">
        <x:v>JavaLand 2027</x:v>
      </x:c>
      <x:c r="F85" s="12" t="str">
        <x:v>Rust, Germany</x:v>
      </x:c>
      <x:c r="G85" s="12" t="str">
        <x:v>in-person</x:v>
      </x:c>
      <x:c r="H85" s="18" t="n">
        <x:v>46448.5</x:v>
      </x:c>
      <x:c r="I85" s="12" t="str">
        <x:v>open</x:v>
      </x:c>
      <x:c r="J85" s="18" t="n">
        <x:v>46279.5</x:v>
      </x:c>
      <x:c r="K85" s="12" t="str">
        <x:v>Conjure Exactly Enough</x:v>
      </x:c>
      <x:c r="L85" s="12" t="str"/>
      <x:c r="M85" s="12" t="n">
        <x:v>3</x:v>
      </x:c>
      <x:c r="N85" s="12" t="n">
        <x:v>2</x:v>
      </x:c>
      <x:c r="O85" s="12" t="n">
        <x:v>2.69</x:v>
      </x:c>
      <x:c r="P85" s="12" t="n">
        <x:v>2</x:v>
      </x:c>
      <x:c r="Q85" s="12" t="n">
        <x:v>1</x:v>
      </x:c>
      <x:c r="R85" s="12" t="str">
        <x:v>Other domestic location.</x:v>
      </x:c>
      <x:c r="S85" s="12" t="str">
        <x:v>Standard public proposal or organizer route with no hard requirement found.</x:v>
      </x:c>
      <x:c r="T85" s="12" t="str">
        <x:v>Recurring program or sponsor/history evidence is visible; no strong comparable audience count was found.</x:v>
      </x:c>
      <x:c r="U85" s="12" t="str">
        <x:v>Open community CFP covers AI, architecture, platform, cloud, DevOps, deep dives, and practical lessons.</x:v>
      </x:c>
      <x:c r="V85" s="12" t="str"/>
      <x:c r="W85" s="12" t="str">
        <x:v>Verify duration and speaker terms immediately; submit only if the talk can honestly foreground a JVM/cloud-native case rather than adding cosmetic Java references.</x:v>
      </x:c>
      <x:c r="X85" s="12" t="str">
        <x:v>Deadline is close; current duration and economics were not captured; strongest only with a credible Java/JVM implementation angle. | Duration, economics, travel/hotel, accessibility, and detailed current rights need recheck. Stronger if tied to JVM/cloud platform context.</x:v>
      </x:c>
      <x:c r="Y85" s="12" t="str">
        <x:v>https://www.javaland.eu/en/speakers/</x:v>
      </x:c>
    </x:row>
    <x:row r="86" ht="33" customHeight="1">
      <x:c r="A86" s="12" t="n">
        <x:v>82</x:v>
      </x:c>
      <x:c r="B86" s="15" t="n">
        <x:f>ROUND(M86*Scoring!$B$3+N86*Scoring!$B$4+O86*Scoring!$B$5+(6-P86)*Scoring!$B$6+Q86*Scoring!$B$7,3)</x:f>
        <x:v>2.695</x:v>
      </x:c>
      <x:c r="C86" s="12" t="str">
        <x:v>community/meetup</x:v>
      </x:c>
      <x:c r="D86" s="12" t="str">
        <x:v>The AI Exchange</x:v>
      </x:c>
      <x:c r="E86" s="12" t="str">
        <x:v>Denver/Colorado</x:v>
      </x:c>
      <x:c r="F86" s="12" t="str">
        <x:v>Exponential Impact, Colorado Springs; monthly, in person</x:v>
      </x:c>
      <x:c r="G86" s="12" t="str">
        <x:v>in-person</x:v>
      </x:c>
      <x:c r="H86" s="18"/>
      <x:c r="I86" s="12" t="str">
        <x:v>public form/contact route</x:v>
      </x:c>
      <x:c r="J86" s="18"/>
      <x:c r="K86" s="12" t="str">
        <x:v>Buy Me a Free Tier</x:v>
      </x:c>
      <x:c r="L86" s="12" t="str"/>
      <x:c r="M86" s="12" t="n">
        <x:v>2</x:v>
      </x:c>
      <x:c r="N86" s="12" t="n">
        <x:v>3</x:v>
      </x:c>
      <x:c r="O86" s="12" t="n">
        <x:v>2.38</x:v>
      </x:c>
      <x:c r="P86" s="12" t="n">
        <x:v>2</x:v>
      </x:c>
      <x:c r="Q86" s="12" t="n">
        <x:v>3</x:v>
      </x:c>
      <x:c r="R86" s="12" t="str">
        <x:v>Near a preferred city or within the Denver/Front Range area.</x:v>
      </x:c>
      <x:c r="S86" s="12" t="str">
        <x:v>Researcher-rated route and format effort; 1 is easiest and 5 is hardest.</x:v>
      </x:c>
      <x:c r="T86" s="12" t="str">
        <x:v>Recurring program or sponsor/history evidence is visible; no strong comparable audience count was found.</x:v>
      </x:c>
      <x:c r="U86" s="12" t="str">
        <x:v>Free tier, Product, Education, Judgment, and practical small-business AI</x:v>
      </x:c>
      <x:c r="V86" s="12" t="str">
        <x:v>The program uses a one-hour guest speaker each month; use Exponential Impact’s public event/contact route. Series page</x:v>
      </x:c>
      <x:c r="W86" s="12" t="str">
        <x:v>Review the public route and decide whether to prepare the indicated talk or demo format.</x:v>
      </x:c>
      <x:c r="X86" s="12" t="str"/>
      <x:c r="Y86" s="12" t="str">
        <x:v>https://exponentialimpact.com/events/the-ai-exchange/</x:v>
      </x:c>
    </x:row>
    <x:row r="87" ht="33" customHeight="1">
      <x:c r="A87" s="12" t="n">
        <x:v>83</x:v>
      </x:c>
      <x:c r="B87" s="15" t="n">
        <x:f>ROUND(M87*Scoring!$B$3+N87*Scoring!$B$4+O87*Scoring!$B$5+(6-P87)*Scoring!$B$6+Q87*Scoring!$B$7,3)</x:f>
        <x:v>2.71</x:v>
      </x:c>
      <x:c r="C87" s="12" t="str">
        <x:v>conference/event</x:v>
      </x:c>
      <x:c r="D87" s="12" t="str">
        <x:v>APQC CONNECT</x:v>
      </x:c>
      <x:c r="E87" s="12" t="str">
        <x:v>APQC CONNECT 2027</x:v>
      </x:c>
      <x:c r="F87" s="12" t="str">
        <x:v>Houston, United States</x:v>
      </x:c>
      <x:c r="G87" s="12" t="str">
        <x:v>in-person</x:v>
      </x:c>
      <x:c r="H87" s="18" t="n">
        <x:v>46512.5</x:v>
      </x:c>
      <x:c r="I87" s="12" t="str">
        <x:v>open</x:v>
      </x:c>
      <x:c r="J87" s="18" t="n">
        <x:v>46307.5</x:v>
      </x:c>
      <x:c r="K87" s="12" t="str">
        <x:v>Turn Your Thinkin' Tokens Up to 11</x:v>
      </x:c>
      <x:c r="L87" s="12" t="str">
        <x:v>product-engineering</x:v>
      </x:c>
      <x:c r="M87" s="12" t="n">
        <x:v>3</x:v>
      </x:c>
      <x:c r="N87" s="12" t="n">
        <x:v>2</x:v>
      </x:c>
      <x:c r="O87" s="12" t="n">
        <x:v>1.84</x:v>
      </x:c>
      <x:c r="P87" s="12" t="n">
        <x:v>1</x:v>
      </x:c>
      <x:c r="Q87" s="12" t="n">
        <x:v>2</x:v>
      </x:c>
      <x:c r="R87" s="12" t="str">
        <x:v>Other domestic location.</x:v>
      </x:c>
      <x:c r="S87" s="12" t="str">
        <x:v>Standard public proposal or organizer route with no hard requirement found.</x:v>
      </x:c>
      <x:c r="T87" s="12" t="str">
        <x:v>Little public popularity evidence beyond the event or route itself.</x:v>
      </x:c>
      <x:c r="U87" s="12" t="str">
        <x:v>Process, performance and knowledge leaders are relevant; archived AI operating-model content supports the organizational angle.</x:v>
      </x:c>
      <x:c r="V87" s="12" t="str">
        <x:v>Non-promotional proposal with practical tools, interactive design and real-world problem/solution.</x:v>
      </x:c>
      <x:c r="W87" s="12" t="str">
        <x:v>Use the teach-a-technique route only if conceptual operating-model sessions are allowed; submit by October 12.</x:v>
      </x:c>
      <x:c r="X87" s="12" t="str">
        <x:v>Organizer prefers real organizational problems and measurable effects; adaptation is substantial and synthetic examples may be insufficient. | Synthetic example may not satisfy measurable organizational-effects preference; exact session duration, rights and meal coverage details unknown.</x:v>
      </x:c>
      <x:c r="Y87" s="12" t="str">
        <x:v>https://www.apqc.org/events/2027/apqc-conference/call-for-speakers</x:v>
      </x:c>
    </x:row>
    <x:row r="88" ht="33" customHeight="1">
      <x:c r="A88" s="12" t="n">
        <x:v>84</x:v>
      </x:c>
      <x:c r="B88" s="15" t="n">
        <x:f>ROUND(M88*Scoring!$B$3+N88*Scoring!$B$4+O88*Scoring!$B$5+(6-P88)*Scoring!$B$6+Q88*Scoring!$B$7,3)</x:f>
        <x:v>2.745</x:v>
      </x:c>
      <x:c r="C88" s="12" t="str">
        <x:v>community/meetup</x:v>
      </x:c>
      <x:c r="D88" s="12" t="str">
        <x:v>CU Boulder ATLAS Colloquium</x:v>
      </x:c>
      <x:c r="E88" s="12" t="str">
        <x:v>Denver/Colorado</x:v>
      </x:c>
      <x:c r="F88" s="12" t="str">
        <x:v>CU Boulder ATLAS; usually in person plus Zoom</x:v>
      </x:c>
      <x:c r="G88" s="12" t="str">
        <x:v>in-person</x:v>
      </x:c>
      <x:c r="H88" s="18"/>
      <x:c r="I88" s="12" t="str">
        <x:v>public form/contact route</x:v>
      </x:c>
      <x:c r="J88" s="18"/>
      <x:c r="K88" s="12" t="str">
        <x:v>A Skeptic's Guide to Surviving AI in Education</x:v>
      </x:c>
      <x:c r="L88" s="12" t="str"/>
      <x:c r="M88" s="12" t="n">
        <x:v>1</x:v>
      </x:c>
      <x:c r="N88" s="12" t="n">
        <x:v>4</x:v>
      </x:c>
      <x:c r="O88" s="12" t="n">
        <x:v>2.38</x:v>
      </x:c>
      <x:c r="P88" s="12" t="n">
        <x:v>1</x:v>
      </x:c>
      <x:c r="Q88" s="12" t="n">
        <x:v>3</x:v>
      </x:c>
      <x:c r="R88" s="12" t="str">
        <x:v>Remote or online participation is available.</x:v>
      </x:c>
      <x:c r="S88" s="12" t="str">
        <x:v>Researcher-rated route and format effort; 1 is easiest and 5 is hardest.</x:v>
      </x:c>
      <x:c r="T88" s="12" t="str">
        <x:v>Little public popularity evidence beyond the event or route itself.</x:v>
      </x:c>
      <x:c r="U88" s="12" t="str">
        <x:v>Education, Product, Judgment, Adaptive, and human-centered Retrieval</x:v>
      </x:c>
      <x:c r="V88" s="12" t="str">
        <x:v>Curated by the named faculty organizer; the series page is the public route, but no open speaker form is published</x:v>
      </x:c>
      <x:c r="W88" s="12" t="str">
        <x:v>Review the public route and decide whether to prepare the indicated talk or demo format.</x:v>
      </x:c>
      <x:c r="X88" s="12" t="str"/>
      <x:c r="Y88" s="12" t="str">
        <x:v>https://www.colorado.edu/atlas/atlas-colloquium</x:v>
      </x:c>
    </x:row>
    <x:row r="89" ht="33" customHeight="1">
      <x:c r="A89" s="12" t="n">
        <x:v>85</x:v>
      </x:c>
      <x:c r="B89" s="15" t="n">
        <x:f>ROUND(M89*Scoring!$B$3+N89*Scoring!$B$4+O89*Scoring!$B$5+(6-P89)*Scoring!$B$6+Q89*Scoring!$B$7,3)</x:f>
        <x:v>2.745</x:v>
      </x:c>
      <x:c r="C89" s="12" t="str">
        <x:v>community/meetup</x:v>
      </x:c>
      <x:c r="D89" s="12" t="str">
        <x:v>CU Denver Data Science &amp; AI Symposium</x:v>
      </x:c>
      <x:c r="E89" s="12" t="str">
        <x:v>Denver/Colorado</x:v>
      </x:c>
      <x:c r="F89" s="12" t="str">
        <x:v>CU Denver Business School; in person</x:v>
      </x:c>
      <x:c r="G89" s="12" t="str">
        <x:v>in-person</x:v>
      </x:c>
      <x:c r="H89" s="18"/>
      <x:c r="I89" s="12" t="str">
        <x:v>public form/contact route</x:v>
      </x:c>
      <x:c r="J89" s="18"/>
      <x:c r="K89" s="12" t="str">
        <x:v>Stop Looking at My Benchmarks… Get Your Own!</x:v>
      </x:c>
      <x:c r="L89" s="12" t="str"/>
      <x:c r="M89" s="12" t="n">
        <x:v>1</x:v>
      </x:c>
      <x:c r="N89" s="12" t="n">
        <x:v>4</x:v>
      </x:c>
      <x:c r="O89" s="12" t="n">
        <x:v>2.38</x:v>
      </x:c>
      <x:c r="P89" s="12" t="n">
        <x:v>1</x:v>
      </x:c>
      <x:c r="Q89" s="12" t="n">
        <x:v>3</x:v>
      </x:c>
      <x:c r="R89" s="12" t="str">
        <x:v>Exact preferred city.</x:v>
      </x:c>
      <x:c r="S89" s="12" t="str">
        <x:v>Researcher-rated route and format effort; 1 is easiest and 5 is hardest.</x:v>
      </x:c>
      <x:c r="T89" s="12" t="str">
        <x:v>Little public popularity evidence beyond the event or route itself.</x:v>
      </x:c>
      <x:c r="U89" s="12" t="str">
        <x:v>Benchmarks, Retrieval, Adaptive, Parallelization, Education, and Failure</x:v>
      </x:c>
      <x:c r="V89" s="12" t="str">
        <x:v>2026 call is closed; the official archive shows registration-based proposal submission for oral or poster review. Monitor the DSAI events page and 2026 symposium archive</x:v>
      </x:c>
      <x:c r="W89" s="12" t="str">
        <x:v>Review the public route and decide whether to prepare the indicated talk or demo format.</x:v>
      </x:c>
      <x:c r="X89" s="12" t="str"/>
      <x:c r="Y89" s="12" t="str">
        <x:v>https://datascience.ucdenver.edu/events</x:v>
      </x:c>
    </x:row>
    <x:row r="90" ht="33" customHeight="1">
      <x:c r="A90" s="12" t="n">
        <x:v>86</x:v>
      </x:c>
      <x:c r="B90" s="15" t="n">
        <x:f>ROUND(M90*Scoring!$B$3+N90*Scoring!$B$4+O90*Scoring!$B$5+(6-P90)*Scoring!$B$6+Q90*Scoring!$B$7,3)</x:f>
        <x:v>2.745</x:v>
      </x:c>
      <x:c r="C90" s="12" t="str">
        <x:v>community/meetup</x:v>
      </x:c>
      <x:c r="D90" s="12" t="str">
        <x:v>Refresh Miami</x:v>
      </x:c>
      <x:c r="E90" s="12" t="str">
        <x:v>Preferred US cities</x:v>
      </x:c>
      <x:c r="F90" s="12" t="str">
        <x:v>Miami; in person events plus a Luma community calendar</x:v>
      </x:c>
      <x:c r="G90" s="12" t="str">
        <x:v>in-person</x:v>
      </x:c>
      <x:c r="H90" s="18"/>
      <x:c r="I90" s="12" t="str">
        <x:v>public form/contact route</x:v>
      </x:c>
      <x:c r="J90" s="18"/>
      <x:c r="K90" s="12" t="str">
        <x:v>Break the Mirror on Purpose</x:v>
      </x:c>
      <x:c r="L90" s="12" t="str"/>
      <x:c r="M90" s="12" t="n">
        <x:v>1</x:v>
      </x:c>
      <x:c r="N90" s="12" t="n">
        <x:v>4</x:v>
      </x:c>
      <x:c r="O90" s="12" t="n">
        <x:v>2.38</x:v>
      </x:c>
      <x:c r="P90" s="12" t="n">
        <x:v>1</x:v>
      </x:c>
      <x:c r="Q90" s="12" t="n">
        <x:v>3</x:v>
      </x:c>
      <x:c r="R90" s="12" t="str">
        <x:v>Exact preferred city.</x:v>
      </x:c>
      <x:c r="S90" s="12" t="str">
        <x:v>Researcher-rated route and format effort; 1 is easiest and 5 is hardest.</x:v>
      </x:c>
      <x:c r="T90" s="12" t="str">
        <x:v>Little public popularity evidence beyond the event or route itself.</x:v>
      </x:c>
      <x:c r="U90" s="12" t="str">
        <x:v>Product, Judgment, Free tier, Education, and broad AI/engineering talks</x:v>
      </x:c>
      <x:c r="V90" s="12" t="str">
        <x:v>Refresh publishes a public partnership/contact route and a Luma Submit Event calendar, but no general speaker application. Treat it as an ecosystem gateway or co-produced-event route, not a talk CFP. Resources · Luma calendar</x:v>
      </x:c>
      <x:c r="W90" s="12" t="str">
        <x:v>Review the public route and decide whether to prepare the indicated talk or demo format.</x:v>
      </x:c>
      <x:c r="X90" s="12" t="str">
        <x:v>Editorial speaker intake, costs or partnership terms, audience for a co-produced event, and whether independent talks are accepted.</x:v>
      </x:c>
      <x:c r="Y90" s="12" t="str">
        <x:v>https://refreshmiami.com/resources/</x:v>
      </x:c>
    </x:row>
    <x:row r="91" ht="33" customHeight="1">
      <x:c r="A91" s="12" t="n">
        <x:v>87</x:v>
      </x:c>
      <x:c r="B91" s="15" t="n">
        <x:f>ROUND(M91*Scoring!$B$3+N91*Scoring!$B$4+O91*Scoring!$B$5+(6-P91)*Scoring!$B$6+Q91*Scoring!$B$7,3)</x:f>
        <x:v>2.76</x:v>
      </x:c>
      <x:c r="C91" s="12" t="str">
        <x:v>conference/event</x:v>
      </x:c>
      <x:c r="D91" s="12" t="str">
        <x:v>FinOPS Chicago</x:v>
      </x:c>
      <x:c r="E91" s="12" t="str">
        <x:v>FinOPS Chicago rolling meetup route</x:v>
      </x:c>
      <x:c r="F91" s="12" t="str">
        <x:v>Chicago, USA</x:v>
      </x:c>
      <x:c r="G91" s="12" t="str">
        <x:v>in-person or online</x:v>
      </x:c>
      <x:c r="H91" s="18"/>
      <x:c r="I91" s="12" t="str">
        <x:v>unknown</x:v>
      </x:c>
      <x:c r="J91" s="18"/>
      <x:c r="K91" s="12" t="str">
        <x:v>Buy Me a Free Tier</x:v>
      </x:c>
      <x:c r="L91" s="12" t="str"/>
      <x:c r="M91" s="12" t="n">
        <x:v>1</x:v>
      </x:c>
      <x:c r="N91" s="12" t="n">
        <x:v>2</x:v>
      </x:c>
      <x:c r="O91" s="12" t="n">
        <x:v>3.64</x:v>
      </x:c>
      <x:c r="P91" s="12" t="n">
        <x:v>1</x:v>
      </x:c>
      <x:c r="Q91" s="12" t="n">
        <x:v>4</x:v>
      </x:c>
      <x:c r="R91" s="12" t="str">
        <x:v>Exact preferred city.</x:v>
      </x:c>
      <x:c r="S91" s="12" t="str">
        <x:v>Standard public proposal or organizer route with no hard requirement found.</x:v>
      </x:c>
      <x:c r="T91" s="12" t="str">
        <x:v>Little public popularity evidence beyond the event or route itself.</x:v>
      </x:c>
      <x:c r="U91" s="12" t="str">
        <x:v>Only prior event is almost exact topical evidence and was online.</x:v>
      </x:c>
      <x:c r="V91" s="12" t="str">
        <x:v>Message organizer; no formal CFP found</x:v>
      </x:c>
      <x:c r="W91" s="12" t="str">
        <x:v>Monitor for a second event and dated speaker invitation.</x:v>
      </x:c>
      <x:c r="X91" s="12" t="str">
        <x:v>Very small and nascent; no explicit speaker route or next event | Nascent group; no explicit speaker route, next event, format, or economics</x:v>
      </x:c>
      <x:c r="Y91" s="12" t="str">
        <x:v>https://www.meetup.com/finops-chicago/</x:v>
      </x:c>
    </x:row>
    <x:row r="92" ht="33" customHeight="1">
      <x:c r="A92" s="12" t="n">
        <x:v>88</x:v>
      </x:c>
      <x:c r="B92" s="15" t="n">
        <x:f>ROUND(M92*Scoring!$B$3+N92*Scoring!$B$4+O92*Scoring!$B$5+(6-P92)*Scoring!$B$6+Q92*Scoring!$B$7,3)</x:f>
        <x:v>2.785</x:v>
      </x:c>
      <x:c r="C92" s="12" t="str">
        <x:v>conference/event</x:v>
      </x:c>
      <x:c r="D92" s="12" t="str">
        <x:v>ICAI Annual Conference</x:v>
      </x:c>
      <x:c r="E92" s="12" t="str">
        <x:v>ICAI 2027 Annual Conference</x:v>
      </x:c>
      <x:c r="F92" s="12" t="str">
        <x:v>Monterrey, Mexico</x:v>
      </x:c>
      <x:c r="G92" s="12" t="str">
        <x:v>in-person</x:v>
      </x:c>
      <x:c r="H92" s="18" t="n">
        <x:v>46443.5</x:v>
      </x:c>
      <x:c r="I92" s="12" t="str">
        <x:v>open</x:v>
      </x:c>
      <x:c r="J92" s="18" t="n">
        <x:v>46283.5</x:v>
      </x:c>
      <x:c r="K92" s="12" t="str">
        <x:v>Outsmart Your Lying, Cheating Students</x:v>
      </x:c>
      <x:c r="L92" s="12" t="str"/>
      <x:c r="M92" s="12" t="n">
        <x:v>4</x:v>
      </x:c>
      <x:c r="N92" s="12" t="n">
        <x:v>2</x:v>
      </x:c>
      <x:c r="O92" s="12" t="n">
        <x:v>1.94</x:v>
      </x:c>
      <x:c r="P92" s="12" t="n">
        <x:v>2</x:v>
      </x:c>
      <x:c r="Q92" s="12" t="n">
        <x:v>1</x:v>
      </x:c>
      <x:c r="R92" s="12" t="str">
        <x:v>Canada or Mexico: feasible but outside the preferred domestic list.</x:v>
      </x:c>
      <x:c r="S92" s="12" t="str">
        <x:v>Standard public proposal or organizer route with no hard requirement found.</x:v>
      </x:c>
      <x:c r="T92" s="12" t="str">
        <x:v>Recurring program or sponsor/history evidence is visible; no strong comparable audience count was found.</x:v>
      </x:c>
      <x:c r="U92" s="12" t="str">
        <x:v>Exact audience, AI theme, and 40-minute format align unusually well; current program language already questions detection-first approaches.</x:v>
      </x:c>
      <x:c r="V92" s="12" t="str">
        <x:v>Theme area; title; proposal; learning outcomes; no more than two submissions bearing one person's name and only one lead program</x:v>
      </x:c>
      <x:c r="W92" s="12" t="str">
        <x:v>Draft the 40-minute AI-theme proposal before September 18 and separately verify presenter registration and travel obligations.</x:v>
      </x:c>
      <x:c r="X92" s="12" t="str">
        <x:v>FINALIST; in-person Monterrey required; no more than two submissions; travel/economics unknown | Compensation, travel support, registration cost, rights, accessibility, and Dan's travel willingness are unknown.</x:v>
      </x:c>
      <x:c r="Y92" s="12" t="str">
        <x:v>https://academicintegrity.org/aws/ICAI/pt/sp/conference_cfp</x:v>
      </x:c>
    </x:row>
    <x:row r="93" ht="33" customHeight="1">
      <x:c r="A93" s="12" t="n">
        <x:v>89</x:v>
      </x:c>
      <x:c r="B93" s="15" t="n">
        <x:f>ROUND(M93*Scoring!$B$3+N93*Scoring!$B$4+O93*Scoring!$B$5+(6-P93)*Scoring!$B$6+Q93*Scoring!$B$7,3)</x:f>
        <x:v>2.785</x:v>
      </x:c>
      <x:c r="C93" s="12" t="str">
        <x:v>conference/event</x:v>
      </x:c>
      <x:c r="D93" s="12" t="str">
        <x:v>Observability Day Europe</x:v>
      </x:c>
      <x:c r="E93" s="12" t="str">
        <x:v>Observability Day Europe 2027</x:v>
      </x:c>
      <x:c r="F93" s="12" t="str">
        <x:v>Barcelona, Spain</x:v>
      </x:c>
      <x:c r="G93" s="12" t="str">
        <x:v>in-person</x:v>
      </x:c>
      <x:c r="H93" s="18" t="n">
        <x:v>46461.5</x:v>
      </x:c>
      <x:c r="I93" s="12" t="str">
        <x:v>open</x:v>
      </x:c>
      <x:c r="J93" s="18" t="n">
        <x:v>46313.5</x:v>
      </x:c>
      <x:c r="K93" s="12" t="str">
        <x:v>Stop Looking at My Benchmarks… Get Your Own!</x:v>
      </x:c>
      <x:c r="L93" s="12" t="str"/>
      <x:c r="M93" s="12" t="n">
        <x:v>4</x:v>
      </x:c>
      <x:c r="N93" s="12" t="n">
        <x:v>2</x:v>
      </x:c>
      <x:c r="O93" s="12" t="n">
        <x:v>1.54</x:v>
      </x:c>
      <x:c r="P93" s="12" t="n">
        <x:v>2</x:v>
      </x:c>
      <x:c r="Q93" s="12" t="n">
        <x:v>2</x:v>
      </x:c>
      <x:c r="R93" s="12" t="str">
        <x:v>Overseas at or after the stated six-to-nine-month travel window, or an undated future overseas route.</x:v>
      </x:c>
      <x:c r="S93" s="12" t="str">
        <x:v>Standard public proposal or organizer route with no hard requirement found.</x:v>
      </x:c>
      <x:c r="T93" s="12" t="str">
        <x:v>Recurring program or sponsor/history evidence is visible; no strong comparable audience count was found.</x:v>
      </x:c>
      <x:c r="U93" s="12" t="str">
        <x:v>Observability practitioners are a strong fit for measurement, uncertainty, failure slicing, and operational feedback</x:v>
      </x:c>
      <x:c r="V93" s="12" t="str">
        <x:v>Proposal through common co-located CFP</x:v>
      </x:c>
      <x:c r="W93" s="12" t="str">
        <x:v>Differentiate from any main KubeCon proposal and verify multi-proposal rules</x:v>
      </x:c>
      <x:c r="X93" s="12" t="str">
        <x:v>Requires a 25-minute cut and vendor-neutral/open-source framing; repeat rules apply | Travel, compensation, accessibility, and multi-proposal interaction unknown</x:v>
      </x:c>
      <x:c r="Y93" s="12" t="str">
        <x:v>https://events.linuxfoundation.org/kubecon-cloudnativecon-europe/co-located-events/cfp-colocated-events/</x:v>
      </x:c>
    </x:row>
    <x:row r="94" ht="33" customHeight="1">
      <x:c r="A94" s="12" t="n">
        <x:v>90</x:v>
      </x:c>
      <x:c r="B94" s="15" t="n">
        <x:f>ROUND(M94*Scoring!$B$3+N94*Scoring!$B$4+O94*Scoring!$B$5+(6-P94)*Scoring!$B$6+Q94*Scoring!$B$7,3)</x:f>
        <x:v>2.785</x:v>
      </x:c>
      <x:c r="C94" s="12" t="str">
        <x:v>conference/event</x:v>
      </x:c>
      <x:c r="D94" s="12" t="str">
        <x:v>AOmA / Adaptive Organizations meet Architecture</x:v>
      </x:c>
      <x:c r="E94" s="12" t="str">
        <x:v>AOmA 2027</x:v>
      </x:c>
      <x:c r="F94" s="12" t="str">
        <x:v>Berlin, Germany</x:v>
      </x:c>
      <x:c r="G94" s="12" t="str">
        <x:v>in-person</x:v>
      </x:c>
      <x:c r="H94" s="18" t="n">
        <x:v>46483.5</x:v>
      </x:c>
      <x:c r="I94" s="12" t="str">
        <x:v>open</x:v>
      </x:c>
      <x:c r="J94" s="18" t="n">
        <x:v>46318.5</x:v>
      </x:c>
      <x:c r="K94" s="12" t="str">
        <x:v>Conjure Exactly Enough</x:v>
      </x:c>
      <x:c r="L94" s="12" t="str">
        <x:v>retrieval</x:v>
      </x:c>
      <x:c r="M94" s="12" t="n">
        <x:v>4</x:v>
      </x:c>
      <x:c r="N94" s="12" t="n">
        <x:v>3</x:v>
      </x:c>
      <x:c r="O94" s="12" t="n">
        <x:v>1.54</x:v>
      </x:c>
      <x:c r="P94" s="12" t="n">
        <x:v>4</x:v>
      </x:c>
      <x:c r="Q94" s="12" t="n">
        <x:v>3</x:v>
      </x:c>
      <x:c r="R94" s="12" t="str">
        <x:v>Overseas at or after the stated six-to-nine-month travel window, or an undated future overseas route.</x:v>
      </x:c>
      <x:c r="S94" s="12" t="str">
        <x:v>Standard CFP plus registration, assets, review, or meaningful format adaptation.</x:v>
      </x:c>
      <x:c r="T94" s="12" t="str">
        <x:v>Established recurring conference or community series with visible program history.</x:v>
      </x:c>
      <x:c r="U94" s="12" t="str">
        <x:v>Exact format match; CFP explicitly requests building architectures for AI, dangers/pitfalls, and adaptive decision-making.</x:v>
      </x:c>
      <x:c r="V94" s="12" t="str">
        <x:v>Title, abstract, introductory/deep-dive type, tags, name, title, bio, photo, email</x:v>
      </x:c>
      <x:c r="W94" s="12" t="str">
        <x:v>Prepare the existing 40-minute abstract for Sessionize and verify the official deadline banner immediately before any user-authorized submission.</x:v>
      </x:c>
      <x:c r="X94" s="12" t="str">
        <x:v>One session per concept is actively curated; must connect system adaptation to organizational decision rights; official/LinkedIn deadline conflict. | Travel cap by region, honorarium, visa support, speaker costs, and recording rights unknown; official page conflicts with later LinkedIn deadline claim. | Travel cap, honorarium, pass, rights, and whether talk has enough organizational/architecture emphasis | MERGE CONFLICTS/VARIANTS — edition_url: https://aoma-conference.com/2027/ | https://aoma-conference.com/; eligibility: Public Sessionize CFP | unknown; formats_and_durations: 40 minutes including Q&amp;A; mixture of lecture and hands-on favored | 40 minutes including Q&amp;A; introductory or deep-dive; submission_requirements: Title, abstract, introductory/deep-dive type, tags, name, title, bio, photo, email | Title, abstract, type, tags, name, title, bio, photo, email; English; compensation: Accommodation reimbursed up to EUR 300 for speakers outside Berlin | unknown; travel_support: Accommodation up to EUR300 outside Berlin; travel covered up to an unspecified location-based amount | Travel covered up to an amount depending on origin region; recording_rights: Recording rights not stated | unknown; accessibility: Organizer invites disclosure of access/parenting needs and offers discussion | Organizer offers to discuss accessibility and parent needs; verified_at: 2026-09-04T12:00:00-06:00 | 2026-09-04T23:30:00-06:00</x:v>
      </x:c>
      <x:c r="Y94" s="12" t="str">
        <x:v>https://aoma-conference.com/2027/cfp/</x:v>
      </x:c>
    </x:row>
    <x:row r="95" ht="33" customHeight="1">
      <x:c r="A95" s="12" t="n">
        <x:v>91</x:v>
      </x:c>
      <x:c r="B95" s="15" t="n">
        <x:f>ROUND(M95*Scoring!$B$3+N95*Scoring!$B$4+O95*Scoring!$B$5+(6-P95)*Scoring!$B$6+Q95*Scoring!$B$7,3)</x:f>
        <x:v>2.795</x:v>
      </x:c>
      <x:c r="C95" s="12" t="str">
        <x:v>community/meetup</x:v>
      </x:c>
      <x:c r="D95" s="12" t="str">
        <x:v>AI Tinkerers San Francisco</x:v>
      </x:c>
      <x:c r="E95" s="12" t="str">
        <x:v>Preferred US cities</x:v>
      </x:c>
      <x:c r="F95" s="12" t="str">
        <x:v>San Francisco; in person</x:v>
      </x:c>
      <x:c r="G95" s="12" t="str">
        <x:v>in-person</x:v>
      </x:c>
      <x:c r="H95" s="18" t="n">
        <x:v>46277.5</x:v>
      </x:c>
      <x:c r="I95" s="12" t="str">
        <x:v>public form/contact route</x:v>
      </x:c>
      <x:c r="J95" s="18"/>
      <x:c r="K95" s="12" t="str">
        <x:v>Conjure Exactly Enough</x:v>
      </x:c>
      <x:c r="L95" s="12" t="str"/>
      <x:c r="M95" s="12" t="n">
        <x:v>1</x:v>
      </x:c>
      <x:c r="N95" s="12" t="n">
        <x:v>5</x:v>
      </x:c>
      <x:c r="O95" s="12" t="n">
        <x:v>2.38</x:v>
      </x:c>
      <x:c r="P95" s="12" t="n">
        <x:v>2</x:v>
      </x:c>
      <x:c r="Q95" s="12" t="n">
        <x:v>3</x:v>
      </x:c>
      <x:c r="R95" s="12" t="str">
        <x:v>Exact preferred city.</x:v>
      </x:c>
      <x:c r="S95" s="12" t="str">
        <x:v>Researcher-rated route and format effort; 1 is easiest and 5 is hardest.</x:v>
      </x:c>
      <x:c r="T95" s="12" t="str">
        <x:v>Public organizer/platform signal of at least 266.</x:v>
      </x:c>
      <x:c r="U95" s="12" t="str">
        <x:v>Adaptive, Retrieval, Benchmarks, Parallelization, and Failure as live systems</x:v>
      </x:c>
      <x:c r="V95" s="12" t="str">
        <x:v>Apply through each event's demo form. Typical slots are five minutes, implementation-first, no deck, and no product pitch. Chapter · proposal example</x:v>
      </x:c>
      <x:c r="W95" s="12" t="str">
        <x:v>Review the public route and decide whether to prepare the indicated talk or demo format.</x:v>
      </x:c>
      <x:c r="X95" s="12" t="str">
        <x:v>Next ordinary demo night, proposal opening, travel-speaker policy, and acceptance timing.</x:v>
      </x:c>
      <x:c r="Y95" s="12" t="str">
        <x:v>https://sf.aitinkerers.org/</x:v>
      </x:c>
    </x:row>
    <x:row r="96" ht="33" customHeight="1">
      <x:c r="A96" s="12" t="n">
        <x:v>92</x:v>
      </x:c>
      <x:c r="B96" s="15" t="n">
        <x:f>ROUND(M96*Scoring!$B$3+N96*Scoring!$B$4+O96*Scoring!$B$5+(6-P96)*Scoring!$B$6+Q96*Scoring!$B$7,3)</x:f>
        <x:v>2.795</x:v>
      </x:c>
      <x:c r="C96" s="12" t="str">
        <x:v>community/meetup</x:v>
      </x:c>
      <x:c r="D96" s="12" t="str">
        <x:v>CITA 2027 Annual Conference</x:v>
      </x:c>
      <x:c r="E96" s="12" t="str">
        <x:v>Denver/Colorado</x:v>
      </x:c>
      <x:c r="F96" s="12" t="str">
        <x:v>Denver; in person</x:v>
      </x:c>
      <x:c r="G96" s="12" t="str">
        <x:v>in-person</x:v>
      </x:c>
      <x:c r="H96" s="18" t="n">
        <x:v>46529.5</x:v>
      </x:c>
      <x:c r="I96" s="12" t="str">
        <x:v>public form/contact route</x:v>
      </x:c>
      <x:c r="J96" s="18"/>
      <x:c r="K96" s="12" t="str">
        <x:v>Three Search Methods in a Fundable Trenchcoat</x:v>
      </x:c>
      <x:c r="L96" s="12" t="str"/>
      <x:c r="M96" s="12" t="n">
        <x:v>1</x:v>
      </x:c>
      <x:c r="N96" s="12" t="n">
        <x:v>5</x:v>
      </x:c>
      <x:c r="O96" s="12" t="n">
        <x:v>2.38</x:v>
      </x:c>
      <x:c r="P96" s="12" t="n">
        <x:v>2</x:v>
      </x:c>
      <x:c r="Q96" s="12" t="n">
        <x:v>3</x:v>
      </x:c>
      <x:c r="R96" s="12" t="str">
        <x:v>Exact preferred city.</x:v>
      </x:c>
      <x:c r="S96" s="12" t="str">
        <x:v>Researcher-rated route and format effort; 1 is easiest and 5 is hardest.</x:v>
      </x:c>
      <x:c r="T96" s="12" t="str">
        <x:v>Recurring program or sponsor/history evidence is visible; no strong comparable audience count was found.</x:v>
      </x:c>
      <x:c r="U96" s="12" t="str">
        <x:v>Retrieval or Education through translation, language access, multilingual AI, and human judgment</x:v>
      </x:c>
      <x:c r="V96" s="12" t="str">
        <x:v>Public proposal form is linked from the official call; submissions are open 2026-09-01 through 2026-11-21</x:v>
      </x:c>
      <x:c r="W96" s="12" t="str">
        <x:v>Review the public route and decide whether to prepare the indicated talk or demo format.</x:v>
      </x:c>
      <x:c r="X96" s="12" t="str"/>
      <x:c r="Y96" s="12" t="str">
        <x:v>https://citacolorado.org/events/call_proposals_conf-2027/</x:v>
      </x:c>
    </x:row>
    <x:row r="97" ht="33" customHeight="1">
      <x:c r="A97" s="12" t="n">
        <x:v>93</x:v>
      </x:c>
      <x:c r="B97" s="15" t="n">
        <x:f>ROUND(M97*Scoring!$B$3+N97*Scoring!$B$4+O97*Scoring!$B$5+(6-P97)*Scoring!$B$6+Q97*Scoring!$B$7,3)</x:f>
        <x:v>2.795</x:v>
      </x:c>
      <x:c r="C97" s="12" t="str">
        <x:v>community/meetup</x:v>
      </x:c>
      <x:c r="D97" s="12" t="str">
        <x:v>AI Tinkerers Berlin</x:v>
      </x:c>
      <x:c r="E97" s="12" t="str">
        <x:v>Overseas from March 2027</x:v>
      </x:c>
      <x:c r="F97" s="12" t="str">
        <x:v>Berlin, Germany; in person</x:v>
      </x:c>
      <x:c r="G97" s="12" t="str">
        <x:v>in-person</x:v>
      </x:c>
      <x:c r="H97" s="18"/>
      <x:c r="I97" s="12" t="str">
        <x:v>public form/contact route</x:v>
      </x:c>
      <x:c r="J97" s="18"/>
      <x:c r="K97" s="12" t="str">
        <x:v>Conjure Exactly Enough</x:v>
      </x:c>
      <x:c r="L97" s="12" t="str"/>
      <x:c r="M97" s="12" t="n">
        <x:v>4</x:v>
      </x:c>
      <x:c r="N97" s="12" t="n">
        <x:v>2</x:v>
      </x:c>
      <x:c r="O97" s="12" t="n">
        <x:v>2.38</x:v>
      </x:c>
      <x:c r="P97" s="12" t="n">
        <x:v>4</x:v>
      </x:c>
      <x:c r="Q97" s="12" t="n">
        <x:v>3</x:v>
      </x:c>
      <x:c r="R97" s="12" t="str">
        <x:v>Overseas at or after the stated six-to-nine-month travel window, or an undated future overseas route.</x:v>
      </x:c>
      <x:c r="S97" s="12" t="str">
        <x:v>Researcher-rated route and format effort; 1 is easiest and 5 is hardest.</x:v>
      </x:c>
      <x:c r="T97" s="12" t="str">
        <x:v>Public organizer/platform signal of at least 2,320.</x:v>
      </x:c>
      <x:c r="U97" s="12" t="str">
        <x:v>AS, FI, RT, BM, PA, technical JU</x:v>
      </x:c>
      <x:c r="V97" s="12" t="str">
        <x:v>Public “Submit Your Talk Proposal” / demo route on event pages</x:v>
      </x:c>
      <x:c r="W97" s="12" t="str">
        <x:v>Review the public route and decide whether to prepare the indicated talk or demo format.</x:v>
      </x:c>
      <x:c r="X97" s="12" t="str">
        <x:v>Proposal expects a technical walkthrough and project/company details. Future date, slot length beyond demo wording and economics unknown. Berlin event, route and stats</x:v>
      </x:c>
      <x:c r="Y97" s="12" t="str">
        <x:v>https://berlin.aitinkerers.org/p/ai-tinkerers-berlin-june-17-2026</x:v>
      </x:c>
    </x:row>
    <x:row r="98" ht="33" customHeight="1">
      <x:c r="A98" s="12" t="n">
        <x:v>94</x:v>
      </x:c>
      <x:c r="B98" s="15" t="n">
        <x:f>ROUND(M98*Scoring!$B$3+N98*Scoring!$B$4+O98*Scoring!$B$5+(6-P98)*Scoring!$B$6+Q98*Scoring!$B$7,3)</x:f>
        <x:v>2.808</x:v>
      </x:c>
      <x:c r="C98" s="12" t="str">
        <x:v>conference/event</x:v>
      </x:c>
      <x:c r="D98" s="12" t="str">
        <x:v>AI Festival</x:v>
      </x:c>
      <x:c r="E98" s="12" t="str">
        <x:v>AI Festival 2027</x:v>
      </x:c>
      <x:c r="F98" s="12" t="str">
        <x:v>Milan, Italy</x:v>
      </x:c>
      <x:c r="G98" s="12" t="str">
        <x:v>in-person</x:v>
      </x:c>
      <x:c r="H98" s="18" t="n">
        <x:v>46429.5</x:v>
      </x:c>
      <x:c r="I98" s="12" t="str">
        <x:v>open</x:v>
      </x:c>
      <x:c r="J98" s="18" t="n">
        <x:v>46310.5</x:v>
      </x:c>
      <x:c r="K98" s="12" t="str">
        <x:v>Turn Your Thinkin' Tokens Up to 11</x:v>
      </x:c>
      <x:c r="L98" s="12" t="str">
        <x:v>product-engineering</x:v>
      </x:c>
      <x:c r="M98" s="12" t="n">
        <x:v>5</x:v>
      </x:c>
      <x:c r="N98" s="12" t="n">
        <x:v>2</x:v>
      </x:c>
      <x:c r="O98" s="12" t="n">
        <x:v>2.23</x:v>
      </x:c>
      <x:c r="P98" s="12" t="n">
        <x:v>5</x:v>
      </x:c>
      <x:c r="Q98" s="12" t="n">
        <x:v>2</x:v>
      </x:c>
      <x:c r="R98" s="12" t="str">
        <x:v>Overseas before the stated six-month travel window.</x:v>
      </x:c>
      <x:c r="S98" s="12" t="str">
        <x:v>Standard public proposal or organizer route with no hard requirement found.</x:v>
      </x:c>
      <x:c r="T98" s="12" t="str">
        <x:v>Public organizer/platform signal of at least 10,000 members, registrations, attendees, or reach.</x:v>
      </x:c>
      <x:c r="U98" s="12" t="str">
        <x:v>Large AI/business audience and open call; engineering-leadership density is uncertain.</x:v>
      </x:c>
      <x:c r="V98" s="12" t="str">
        <x:v>Title, description, professional details and future-challenge category.</x:v>
      </x:c>
      <x:c r="W98" s="12" t="str">
        <x:v>Select a strategic future-of-work format and submit the 15-minute version by October 15 after verifying duration.</x:v>
      </x:c>
      <x:c r="X98" s="12" t="str">
        <x:v>Language, duration and economics unknown; avoid headcount-reduction predictions or unsupported productivity claims. | Language, economics, rights, accessibility and exact format unknown.</x:v>
      </x:c>
      <x:c r="Y98" s="12" t="str">
        <x:v>https://en.aifestival.it/call/speaker/</x:v>
      </x:c>
    </x:row>
    <x:row r="99" ht="33" customHeight="1">
      <x:c r="A99" s="12" t="n">
        <x:v>95</x:v>
      </x:c>
      <x:c r="B99" s="15" t="n">
        <x:f>ROUND(M99*Scoring!$B$3+N99*Scoring!$B$4+O99*Scoring!$B$5+(6-P99)*Scoring!$B$6+Q99*Scoring!$B$7,3)</x:f>
        <x:v>2.815</x:v>
      </x:c>
      <x:c r="C99" s="12" t="str">
        <x:v>conference/event</x:v>
      </x:c>
      <x:c r="D99" s="12" t="str">
        <x:v>SaaStock USA / AI Growth Summit</x:v>
      </x:c>
      <x:c r="E99" s="12" t="str">
        <x:v>AI Growth Summit USA 2027</x:v>
      </x:c>
      <x:c r="F99" s="12" t="str">
        <x:v>San Francisco, USA</x:v>
      </x:c>
      <x:c r="G99" s="12" t="str">
        <x:v>in-person</x:v>
      </x:c>
      <x:c r="H99" s="18" t="n">
        <x:v>46636.5</x:v>
      </x:c>
      <x:c r="I99" s="12" t="str">
        <x:v>invitation-only-or-unknown</x:v>
      </x:c>
      <x:c r="J99" s="18"/>
      <x:c r="K99" s="12" t="str">
        <x:v>Buy Me a Free Tier</x:v>
      </x:c>
      <x:c r="L99" s="12" t="str"/>
      <x:c r="M99" s="12" t="n">
        <x:v>1</x:v>
      </x:c>
      <x:c r="N99" s="12" t="n">
        <x:v>5</x:v>
      </x:c>
      <x:c r="O99" s="12" t="n">
        <x:v>3.26</x:v>
      </x:c>
      <x:c r="P99" s="12" t="n">
        <x:v>4</x:v>
      </x:c>
      <x:c r="Q99" s="12" t="n">
        <x:v>4</x:v>
      </x:c>
      <x:c r="R99" s="12" t="str">
        <x:v>Exact preferred city.</x:v>
      </x:c>
      <x:c r="S99" s="12" t="str">
        <x:v>No ordinary public speaking route is currently verified.</x:v>
      </x:c>
      <x:c r="T99" s="12" t="str">
        <x:v>Public organizer/platform signal of at least 3,000.</x:v>
      </x:c>
      <x:c r="U99" s="12" t="str">
        <x:v>Audience fit is direct but route evidence is weak.</x:v>
      </x:c>
      <x:c r="V99" s="12" t="str">
        <x:v>unknown</x:v>
      </x:c>
      <x:c r="W99" s="12" t="str">
        <x:v>Monitor for a public editorial application.</x:v>
      </x:c>
      <x:c r="X99" s="12" t="str">
        <x:v>No public editorial speaker route; acquisition/rebrand; sponsor-first page | No public editorial speaker application found after acquisition; only sponsorship contact was prominent</x:v>
      </x:c>
      <x:c r="Y99" s="12" t="str">
        <x:v>https://saastock.com/</x:v>
      </x:c>
    </x:row>
    <x:row r="100" ht="33" customHeight="1">
      <x:c r="A100" s="12" t="n">
        <x:v>96</x:v>
      </x:c>
      <x:c r="B100" s="15" t="n">
        <x:f>ROUND(M100*Scoring!$B$3+N100*Scoring!$B$4+O100*Scoring!$B$5+(6-P100)*Scoring!$B$6+Q100*Scoring!$B$7,3)</x:f>
        <x:v>2.835</x:v>
      </x:c>
      <x:c r="C100" s="12" t="str">
        <x:v>conference/event</x:v>
      </x:c>
      <x:c r="D100" s="12" t="str">
        <x:v>ASTE Educational Technology Conference</x:v>
      </x:c>
      <x:c r="E100" s="12" t="str">
        <x:v>ASTE 2027</x:v>
      </x:c>
      <x:c r="F100" s="12" t="str">
        <x:v>Anchorage, USA</x:v>
      </x:c>
      <x:c r="G100" s="12" t="str">
        <x:v>in-person</x:v>
      </x:c>
      <x:c r="H100" s="18" t="n">
        <x:v>46431.5</x:v>
      </x:c>
      <x:c r="I100" s="12" t="str">
        <x:v>open</x:v>
      </x:c>
      <x:c r="J100" s="18" t="n">
        <x:v>46295.5</x:v>
      </x:c>
      <x:c r="K100" s="12" t="str">
        <x:v>A Skeptic's Guide to Surviving AI in Education</x:v>
      </x:c>
      <x:c r="L100" s="12" t="str"/>
      <x:c r="M100" s="12" t="n">
        <x:v>3</x:v>
      </x:c>
      <x:c r="N100" s="12" t="n">
        <x:v>2</x:v>
      </x:c>
      <x:c r="O100" s="12" t="n">
        <x:v>2.34</x:v>
      </x:c>
      <x:c r="P100" s="12" t="n">
        <x:v>1</x:v>
      </x:c>
      <x:c r="Q100" s="12" t="n">
        <x:v>2</x:v>
      </x:c>
      <x:c r="R100" s="12" t="str">
        <x:v>Other domestic location.</x:v>
      </x:c>
      <x:c r="S100" s="12" t="str">
        <x:v>Standard public proposal or organizer route with no hard requirement found.</x:v>
      </x:c>
      <x:c r="T100" s="12" t="str">
        <x:v>Little public popularity evidence beyond the event or route itself.</x:v>
      </x:c>
      <x:c r="U100" s="12" t="str">
        <x:v>Event calls for honest discussion of what works in Alaskan classrooms and has AI, student impact, administration, and college/career strands</x:v>
      </x:c>
      <x:c r="V100" s="12" t="str">
        <x:v>Rolling review across six strands; practical classroom/school/district takeaways emphasized</x:v>
      </x:c>
      <x:c r="W100" s="12" t="str">
        <x:v>Confirm external-speaker eligibility and travel willingness before the 2026-09-30 deadline</x:v>
      </x:c>
      <x:c r="X100" s="12" t="str">
        <x:v>Local relevance is important; non-Alaska eligibility and Dan's K-12 experience are unknown; travel likely material | Non-Alaska eligibility, proposal details, speaker economics, rights, and Dan's K-12 credentials are unknown</x:v>
      </x:c>
      <x:c r="Y100" s="12" t="str">
        <x:v>https://cfp.sched.com/</x:v>
      </x:c>
    </x:row>
    <x:row r="101" ht="33" customHeight="1">
      <x:c r="A101" s="12" t="n">
        <x:v>97</x:v>
      </x:c>
      <x:c r="B101" s="15" t="n">
        <x:f>ROUND(M101*Scoring!$B$3+N101*Scoring!$B$4+O101*Scoring!$B$5+(6-P101)*Scoring!$B$6+Q101*Scoring!$B$7,3)</x:f>
        <x:v>2.845</x:v>
      </x:c>
      <x:c r="C101" s="12" t="str">
        <x:v>community/meetup</x:v>
      </x:c>
      <x:c r="D101" s="12" t="str">
        <x:v>Denver Dev Day</x:v>
      </x:c>
      <x:c r="E101" s="12" t="str">
        <x:v>Denver/Colorado</x:v>
      </x:c>
      <x:c r="F101" s="12" t="str">
        <x:v>Red Rocks Community College, Lakewood; annual, in person</x:v>
      </x:c>
      <x:c r="G101" s="12" t="str">
        <x:v>in-person</x:v>
      </x:c>
      <x:c r="H101" s="18"/>
      <x:c r="I101" s="12" t="str">
        <x:v>public form/contact route</x:v>
      </x:c>
      <x:c r="J101" s="18"/>
      <x:c r="K101" s="12" t="str">
        <x:v>Break the Mirror on Purpose</x:v>
      </x:c>
      <x:c r="L101" s="12" t="str"/>
      <x:c r="M101" s="12" t="n">
        <x:v>2</x:v>
      </x:c>
      <x:c r="N101" s="12" t="n">
        <x:v>3</x:v>
      </x:c>
      <x:c r="O101" s="12" t="n">
        <x:v>2.38</x:v>
      </x:c>
      <x:c r="P101" s="12" t="n">
        <x:v>1</x:v>
      </x:c>
      <x:c r="Q101" s="12" t="n">
        <x:v>3</x:v>
      </x:c>
      <x:c r="R101" s="12" t="str">
        <x:v>Near a preferred city or within the Denver/Front Range area.</x:v>
      </x:c>
      <x:c r="S101" s="12" t="str">
        <x:v>Researcher-rated route and format effort; 1 is easiest and 5 is hardest.</x:v>
      </x:c>
      <x:c r="T101" s="12" t="str">
        <x:v>Little public popularity evidence beyond the event or route itself.</x:v>
      </x:c>
      <x:c r="U101" s="12" t="str">
        <x:v>Product, Adaptive, Retrieval, Parallelization, Benchmarks, Failure, Free tier, and Judgment</x:v>
      </x:c>
      <x:c r="V101" s="12" t="str">
        <x:v>2026 CFP closed; monitor the official site and Sessionize archive. The Meetup also exposes organizer messaging.</x:v>
      </x:c>
      <x:c r="W101" s="12" t="str">
        <x:v>Review the public route and decide whether to prepare the indicated talk or demo format.</x:v>
      </x:c>
      <x:c r="X101" s="12" t="str"/>
      <x:c r="Y101" s="12" t="str">
        <x:v>https://denverdevday.com/</x:v>
      </x:c>
    </x:row>
    <x:row r="102" ht="33" customHeight="1">
      <x:c r="A102" s="12" t="n">
        <x:v>98</x:v>
      </x:c>
      <x:c r="B102" s="15" t="n">
        <x:f>ROUND(M102*Scoring!$B$3+N102*Scoring!$B$4+O102*Scoring!$B$5+(6-P102)*Scoring!$B$6+Q102*Scoring!$B$7,3)</x:f>
        <x:v>2.845</x:v>
      </x:c>
      <x:c r="C102" s="12" t="str">
        <x:v>conference/event</x:v>
      </x:c>
      <x:c r="D102" s="12" t="str">
        <x:v>AALHE Annual Conference</x:v>
      </x:c>
      <x:c r="E102" s="12" t="str">
        <x:v>AALHE 2027 Conference</x:v>
      </x:c>
      <x:c r="F102" s="12" t="str">
        <x:v>Milwaukee, United States</x:v>
      </x:c>
      <x:c r="G102" s="12" t="str">
        <x:v>in-person</x:v>
      </x:c>
      <x:c r="H102" s="18" t="n">
        <x:v>46552.5</x:v>
      </x:c>
      <x:c r="I102" s="12" t="str">
        <x:v>unknown</x:v>
      </x:c>
      <x:c r="J102" s="18"/>
      <x:c r="K102" s="12" t="str">
        <x:v>Outsmart Your Lying, Cheating Students</x:v>
      </x:c>
      <x:c r="L102" s="12" t="str"/>
      <x:c r="M102" s="12" t="n">
        <x:v>3</x:v>
      </x:c>
      <x:c r="N102" s="12" t="n">
        <x:v>2</x:v>
      </x:c>
      <x:c r="O102" s="12" t="n">
        <x:v>2.18</x:v>
      </x:c>
      <x:c r="P102" s="12" t="n">
        <x:v>2</x:v>
      </x:c>
      <x:c r="Q102" s="12" t="n">
        <x:v>4</x:v>
      </x:c>
      <x:c r="R102" s="12" t="str">
        <x:v>Other domestic location.</x:v>
      </x:c>
      <x:c r="S102" s="12" t="str">
        <x:v>Standard public proposal or organizer route with no hard requirement found.</x:v>
      </x:c>
      <x:c r="T102" s="12" t="str">
        <x:v>Recurring program or sponsor/history evidence is visible; no strong comparable audience count was found.</x:v>
      </x:c>
      <x:c r="U102" s="12" t="str">
        <x:v>This is the most exact assessment audience, and the 2026 program already featured closely adjacent sessions; current CFP route is not published.</x:v>
      </x:c>
      <x:c r="V102" s="12" t="str">
        <x:v>CFP window mentioned but not published on reviewed official page</x:v>
      </x:c>
      <x:c r="W102" s="12" t="str">
        <x:v>Monitor the official conference page weekly through January; do not treat the grant deadline as the CFP deadline.</x:v>
      </x:c>
      <x:c r="X102" s="12" t="str">
        <x:v>FINALIST incomplete lead; no 2027 CFP/status/deadline found; in-person; eligibility and price unknown | No 2027 CFP dates/status or proposal form found; economics, rights, and accessibility incomplete.</x:v>
      </x:c>
      <x:c r="Y102" s="12" t="str">
        <x:v>https://www.aalhe.org/annual-conference</x:v>
      </x:c>
    </x:row>
    <x:row r="103" ht="33" customHeight="1">
      <x:c r="A103" s="12" t="n">
        <x:v>99</x:v>
      </x:c>
      <x:c r="B103" s="15" t="n">
        <x:f>ROUND(M103*Scoring!$B$3+N103*Scoring!$B$4+O103*Scoring!$B$5+(6-P103)*Scoring!$B$6+Q103*Scoring!$B$7,3)</x:f>
        <x:v>2.845</x:v>
      </x:c>
      <x:c r="C103" s="12" t="str">
        <x:v>community/meetup</x:v>
      </x:c>
      <x:c r="D103" s="12" t="str">
        <x:v>AI Tinkerers London</x:v>
      </x:c>
      <x:c r="E103" s="12" t="str">
        <x:v>Overseas from March 2027</x:v>
      </x:c>
      <x:c r="F103" s="12" t="str">
        <x:v>London, UK; in person</x:v>
      </x:c>
      <x:c r="G103" s="12" t="str">
        <x:v>in-person</x:v>
      </x:c>
      <x:c r="H103" s="18"/>
      <x:c r="I103" s="12" t="str">
        <x:v>public form/contact route</x:v>
      </x:c>
      <x:c r="J103" s="18"/>
      <x:c r="K103" s="12" t="str">
        <x:v>The Pager Cried Wolf</x:v>
      </x:c>
      <x:c r="L103" s="12" t="str"/>
      <x:c r="M103" s="12" t="n">
        <x:v>4</x:v>
      </x:c>
      <x:c r="N103" s="12" t="n">
        <x:v>3</x:v>
      </x:c>
      <x:c r="O103" s="12" t="n">
        <x:v>2.38</x:v>
      </x:c>
      <x:c r="P103" s="12" t="n">
        <x:v>5</x:v>
      </x:c>
      <x:c r="Q103" s="12" t="n">
        <x:v>3</x:v>
      </x:c>
      <x:c r="R103" s="12" t="str">
        <x:v>Overseas at or after the stated six-to-nine-month travel window, or an undated future overseas route.</x:v>
      </x:c>
      <x:c r="S103" s="12" t="str">
        <x:v>Researcher-rated route and format effort; 1 is easiest and 5 is hardest.</x:v>
      </x:c>
      <x:c r="T103" s="12" t="str">
        <x:v>Public organizer/platform signal of at least 5,712 members, registrations, attendees, or reach.</x:v>
      </x:c>
      <x:c r="U103" s="12" t="str">
        <x:v>FI, AS, RT, BM, PA; only if converted into a live technical demo</x:v>
      </x:c>
      <x:c r="V103" s="12" t="str">
        <x:v>Event-specific “Submit Your Demo Proposal”; typically five-minute, no-slide, no-pitch demos</x:v>
      </x:c>
      <x:c r="W103" s="12" t="str">
        <x:v>Review the public route and decide whether to prepare the indicated talk or demo format.</x:v>
      </x:c>
      <x:c r="X103" s="12" t="str">
        <x:v>Full 15/40-minute talks do not fit without a working demo and sharp cut; future date, travel and speaker economics unknown. London community and stats, speaker-form example</x:v>
      </x:c>
      <x:c r="Y103" s="12" t="str">
        <x:v>https://london.aitinkerers.org/p/ai-tinkerers-x-mongodb-demopalooza</x:v>
      </x:c>
    </x:row>
    <x:row r="104" ht="33" customHeight="1">
      <x:c r="A104" s="12" t="n">
        <x:v>100</x:v>
      </x:c>
      <x:c r="B104" s="15" t="n">
        <x:f>ROUND(M104*Scoring!$B$3+N104*Scoring!$B$4+O104*Scoring!$B$5+(6-P104)*Scoring!$B$6+Q104*Scoring!$B$7,3)</x:f>
        <x:v>2.845</x:v>
      </x:c>
      <x:c r="C104" s="12" t="str">
        <x:v>community/meetup</x:v>
      </x:c>
      <x:c r="D104" s="12" t="str">
        <x:v>AI Tinkerers Toronto</x:v>
      </x:c>
      <x:c r="E104" s="12" t="str">
        <x:v>Overseas from March 2027</x:v>
      </x:c>
      <x:c r="F104" s="12" t="str">
        <x:v>Toronto, Canada; in person</x:v>
      </x:c>
      <x:c r="G104" s="12" t="str">
        <x:v>in-person</x:v>
      </x:c>
      <x:c r="H104" s="18"/>
      <x:c r="I104" s="12" t="str">
        <x:v>public form/contact route</x:v>
      </x:c>
      <x:c r="J104" s="18"/>
      <x:c r="K104" s="12" t="str">
        <x:v>The Pager Cried Wolf</x:v>
      </x:c>
      <x:c r="L104" s="12" t="str"/>
      <x:c r="M104" s="12" t="n">
        <x:v>4</x:v>
      </x:c>
      <x:c r="N104" s="12" t="n">
        <x:v>3</x:v>
      </x:c>
      <x:c r="O104" s="12" t="n">
        <x:v>2.38</x:v>
      </x:c>
      <x:c r="P104" s="12" t="n">
        <x:v>5</x:v>
      </x:c>
      <x:c r="Q104" s="12" t="n">
        <x:v>3</x:v>
      </x:c>
      <x:c r="R104" s="12" t="str">
        <x:v>Canada or Mexico: feasible but outside the preferred domestic list.</x:v>
      </x:c>
      <x:c r="S104" s="12" t="str">
        <x:v>Researcher-rated route and format effort; 1 is easiest and 5 is hardest.</x:v>
      </x:c>
      <x:c r="T104" s="12" t="str">
        <x:v>Public organizer/platform signal of at least 5,376 members, registrations, attendees, or reach.</x:v>
      </x:c>
      <x:c r="U104" s="12" t="str">
        <x:v>FI, AS, RT, BM, PA; demo-driven JU</x:v>
      </x:c>
      <x:c r="V104" s="12" t="str">
        <x:v>Event-specific “Submit Your Demo Proposal,” normally six-minute work-in-progress demo</x:v>
      </x:c>
      <x:c r="W104" s="12" t="str">
        <x:v>Review the public route and decide whether to prepare the indicated talk or demo format.</x:v>
      </x:c>
      <x:c r="X104" s="12" t="str">
        <x:v>Strict short-demo format; working technical artifact required. Future date, expenses and selection lead time unknown. Toronto stats and April event, demo form example</x:v>
      </x:c>
      <x:c r="Y104" s="12" t="str">
        <x:v>https://toronto.aitinkerers.org/p/ai-tinkerers-toronto-april-2026-hosted-by-shopify</x:v>
      </x:c>
    </x:row>
    <x:row r="105" ht="33" customHeight="1">
      <x:c r="A105" s="12" t="n">
        <x:v>101</x:v>
      </x:c>
      <x:c r="B105" s="15" t="n">
        <x:f>ROUND(M105*Scoring!$B$3+N105*Scoring!$B$4+O105*Scoring!$B$5+(6-P105)*Scoring!$B$6+Q105*Scoring!$B$7,3)</x:f>
        <x:v>2.85</x:v>
      </x:c>
      <x:c r="C105" s="12" t="str">
        <x:v>conference/event</x:v>
      </x:c>
      <x:c r="D105" s="12" t="str">
        <x:v>expo:QA</x:v>
      </x:c>
      <x:c r="E105" s="12" t="str">
        <x:v>expo:QA 2027</x:v>
      </x:c>
      <x:c r="F105" s="12" t="str">
        <x:v>Madrid, Spain</x:v>
      </x:c>
      <x:c r="G105" s="12" t="str">
        <x:v>in-person</x:v>
      </x:c>
      <x:c r="H105" s="18" t="n">
        <x:v>46532.5</x:v>
      </x:c>
      <x:c r="I105" s="12" t="str">
        <x:v>open</x:v>
      </x:c>
      <x:c r="J105" s="18" t="n">
        <x:v>46306.5</x:v>
      </x:c>
      <x:c r="K105" s="12" t="str">
        <x:v>Stop Looking at My Benchmarks… Get Your Own!</x:v>
      </x:c>
      <x:c r="L105" s="12" t="str">
        <x:v>failure-improvement</x:v>
      </x:c>
      <x:c r="M105" s="12" t="n">
        <x:v>4</x:v>
      </x:c>
      <x:c r="N105" s="12" t="n">
        <x:v>2</x:v>
      </x:c>
      <x:c r="O105" s="12" t="n">
        <x:v>1.8</x:v>
      </x:c>
      <x:c r="P105" s="12" t="n">
        <x:v>2</x:v>
      </x:c>
      <x:c r="Q105" s="12" t="n">
        <x:v>2</x:v>
      </x:c>
      <x:c r="R105" s="12" t="str">
        <x:v>Overseas at or after the stated six-to-nine-month travel window, or an undated future overseas route.</x:v>
      </x:c>
      <x:c r="S105" s="12" t="str">
        <x:v>Standard public proposal or organizer route with no hard requirement found.</x:v>
      </x:c>
      <x:c r="T105" s="12" t="str">
        <x:v>Recurring program or sponsor/history evidence is visible; no strong comparable audience count was found.</x:v>
      </x:c>
      <x:c r="U105" s="12" t="str">
        <x:v>The 2027 theme explicitly asks for testing and validating AI systems, measuring quality in AI-driven development, and trustworthy AI software</x:v>
      </x:c>
      <x:c r="V105" s="12" t="str">
        <x:v>Topic and abstract aligned to 'Reinventing Quality in the Age of AI.'</x:v>
      </x:c>
      <x:c r="W105" s="12" t="str">
        <x:v>Verify speaker entitlements and tailor the existing 40-minute deck to quality engineering</x:v>
      </x:c>
      <x:c r="X105" s="12" t="str">
        <x:v>Must ground examples as illustrative unless real deployments are supplied; economics unknown | Venue, talk durations, speaker economics, rights, accessibility, and language policy unknown | Language, durations, economics, rights, accessibility, attendance, eligibility and multiple-proposal rules unknown. | MERGE CONFLICTS/VARIANTS — edition_label: expo:QA 2027 | EXPOQA 2027; date_status: exact | confirmed; eligibility: Public call for speakers. | Practical experience, lessons, innovative ideas, or case studies; formats_and_durations: Regular talk; master class; keynote; half-day workshop; exact durations not published on captured page. | Half-day workshop; keynote; regular talk; master class; submission_requirements: Topic and abstract aligned to 'Reinventing Quality in the Age of AI.' | Proposal through Typeform; verified_at: 2026-09-04T23:45:00-06:00 | 2026-09-04T23:00:00-06:00</x:v>
      </x:c>
      <x:c r="Y105" s="12" t="str">
        <x:v>https://expoqa.com/call-for-speaker/</x:v>
      </x:c>
    </x:row>
    <x:row r="106" ht="33" customHeight="1">
      <x:c r="A106" s="12" t="n">
        <x:v>102</x:v>
      </x:c>
      <x:c r="B106" s="15" t="n">
        <x:f>ROUND(M106*Scoring!$B$3+N106*Scoring!$B$4+O106*Scoring!$B$5+(6-P106)*Scoring!$B$6+Q106*Scoring!$B$7,3)</x:f>
        <x:v>2.858</x:v>
      </x:c>
      <x:c r="C106" s="12" t="str">
        <x:v>conference/event</x:v>
      </x:c>
      <x:c r="D106" s="12" t="str">
        <x:v>Cloud Native AI + Inference Day Europe</x:v>
      </x:c>
      <x:c r="E106" s="12" t="str">
        <x:v>Cloud Native AI + Inference Day Europe 2027</x:v>
      </x:c>
      <x:c r="F106" s="12" t="str">
        <x:v>Barcelona, Spain</x:v>
      </x:c>
      <x:c r="G106" s="12" t="str">
        <x:v>in-person</x:v>
      </x:c>
      <x:c r="H106" s="18" t="n">
        <x:v>46461.5</x:v>
      </x:c>
      <x:c r="I106" s="12" t="str">
        <x:v>open</x:v>
      </x:c>
      <x:c r="J106" s="18" t="n">
        <x:v>46313.5</x:v>
      </x:c>
      <x:c r="K106" s="12" t="str">
        <x:v>Three Search Methods in a Fundable Trenchcoat</x:v>
      </x:c>
      <x:c r="L106" s="12" t="str">
        <x:v>adaptive-systems</x:v>
      </x:c>
      <x:c r="M106" s="12" t="n">
        <x:v>4</x:v>
      </x:c>
      <x:c r="N106" s="12" t="n">
        <x:v>2</x:v>
      </x:c>
      <x:c r="O106" s="12" t="n">
        <x:v>1.83</x:v>
      </x:c>
      <x:c r="P106" s="12" t="n">
        <x:v>2</x:v>
      </x:c>
      <x:c r="Q106" s="12" t="n">
        <x:v>2</x:v>
      </x:c>
      <x:c r="R106" s="12" t="str">
        <x:v>Overseas at or after the stated six-to-nine-month travel window, or an undated future overseas route.</x:v>
      </x:c>
      <x:c r="S106" s="12" t="str">
        <x:v>Standard public proposal or organizer route with no hard requirement found.</x:v>
      </x:c>
      <x:c r="T106" s="12" t="str">
        <x:v>Recurring program or sponsor/history evidence is visible; no strong comparable audience count was found.</x:v>
      </x:c>
      <x:c r="U106" s="12" t="str">
        <x:v>Event topics explicitly include RAG and AI agents and target production AI/ML.</x:v>
      </x:c>
      <x:c r="V106" s="12" t="str">
        <x:v>Choose co-located event; vendor-neutral; repeat restrictions; recording sample requested</x:v>
      </x:c>
      <x:c r="W106" s="12" t="str">
        <x:v>Adapt slides 4–10 into the core and use agent context/tool boundaries as the closing application.</x:v>
      </x:c>
      <x:c r="X106" s="12" t="str">
        <x:v>FINALIST; 25-minute slot; must add cloud-native production evidence and avoid broad glossary framing | Travel/hotel support, honorarium, visa support, and exact recording license are unknown; 25-minute adaptation required. | Travel, hotel, honorarium, detailed form fields, reuse rules | MERGE CONFLICTS/VARIANTS — cfp_url: https://events.linuxfoundation.org/kubecon-cloudnativecon-europe/co-located-events/cncf-hosted-co-located-events-overview/ | https://events.linuxfoundation.org/kubecon-cloudnativecon-europe/co-located-events/cfp-colocated-events/; guidelines_url: https://events.linuxfoundation.org/kubecon-cloudnativecon-europe/co-located-events/cloud-native-ai-inference-day-europe/ | https://events.linuxfoundation.org/kubecon-cloudnativecon-europe/co-located-events/cfp-colocated-events/; eligibility: Public CFP; code-of-conduct agreement | unknown; formats_and_durations: 25-minute solo/dual presentation; 10-minute lightning; 35-minute panel | 25-minute presentation; 10-minute lightning; 35-minute panel; submission_requirements: Choose co-located event; vendor-neutral; repeat restrictions; recording sample requested | RAG and AI Agents are explicit topics; panel diversity/organization rules apply; compensation: Complimentary all-access pass | unknown; speaker_costs: Accepted co-located-event speakers receive an all-access pass | No mandatory registration stated for accepted speakers; recording_rights: Recorded and posted to CNCF YouTube; exact license not stated | recorded and published on CNCF YouTube; verified_at: 2026-09-04T12:00:00-06:00 | 2026-09-04T23:30:00-06:00</x:v>
      </x:c>
      <x:c r="Y106" s="12" t="str">
        <x:v>https://events.linuxfoundation.org/kubecon-cloudnativecon-europe/co-located-events/cncf-hosted-co-located-events-overview/</x:v>
      </x:c>
    </x:row>
    <x:row r="107" ht="33" customHeight="1">
      <x:c r="A107" s="12" t="n">
        <x:v>103</x:v>
      </x:c>
      <x:c r="B107" s="15" t="n">
        <x:f>ROUND(M107*Scoring!$B$3+N107*Scoring!$B$4+O107*Scoring!$B$5+(6-P107)*Scoring!$B$6+Q107*Scoring!$B$7,3)</x:f>
        <x:v>2.86</x:v>
      </x:c>
      <x:c r="C107" s="12" t="str">
        <x:v>conference/event</x:v>
      </x:c>
      <x:c r="D107" s="12" t="str">
        <x:v>USDLA National Conference</x:v>
      </x:c>
      <x:c r="E107" s="12" t="str">
        <x:v>USDLA 2027 National Conference</x:v>
      </x:c>
      <x:c r="F107" s="12" t="str">
        <x:v>Cleveland, United States</x:v>
      </x:c>
      <x:c r="G107" s="12" t="str">
        <x:v>hybrid</x:v>
      </x:c>
      <x:c r="H107" s="18" t="n">
        <x:v>46559.5</x:v>
      </x:c>
      <x:c r="I107" s="12" t="str">
        <x:v>open</x:v>
      </x:c>
      <x:c r="J107" s="18" t="n">
        <x:v>46371.5</x:v>
      </x:c>
      <x:c r="K107" s="12" t="str">
        <x:v>A Skeptic's Guide to Surviving AI in Education</x:v>
      </x:c>
      <x:c r="L107" s="12" t="str">
        <x:v>evidence-learning</x:v>
      </x:c>
      <x:c r="M107" s="12" t="n">
        <x:v>3</x:v>
      </x:c>
      <x:c r="N107" s="12" t="n">
        <x:v>3</x:v>
      </x:c>
      <x:c r="O107" s="12" t="n">
        <x:v>1.24</x:v>
      </x:c>
      <x:c r="P107" s="12" t="n">
        <x:v>1</x:v>
      </x:c>
      <x:c r="Q107" s="12" t="n">
        <x:v>3</x:v>
      </x:c>
      <x:c r="R107" s="12" t="str">
        <x:v>Other domestic location.</x:v>
      </x:c>
      <x:c r="S107" s="12" t="str">
        <x:v>Standard CFP plus registration, assets, review, or meaningful format adaptation.</x:v>
      </x:c>
      <x:c r="T107" s="12" t="str">
        <x:v>Little public popularity evidence beyond the event or route itself.</x:v>
      </x:c>
      <x:c r="U107" s="12" t="str">
        <x:v>AI in education is a named priority; audience spans higher ed, K-12, and workplace learning; exact 45-minute format matches existing package</x:v>
      </x:c>
      <x:c r="V107" s="12" t="str">
        <x:v>10-word title; 200-word abstract; detailed description; objectives; engagement plan; bio; no sales pitch</x:v>
      </x:c>
      <x:c r="W107" s="12" t="str">
        <x:v>Choose onsite versus virtual only after budget preference is supplied; draft the detailed engagement plan before 2026-12-15</x:v>
      </x:c>
      <x:c r="X107" s="12" t="str">
        <x:v>Presenter fee USD 300 onsite or USD 100 virtual; travel origin and budget unknown | Virtual component dates remain TBD; compensation, travel support, rights, and accessibility are unknown. | Virtual dates, compensation, travel support, recording rights, accessibility, and Dan's preferred mode/budget unknown | MERGE CONFLICTS/VARIANTS — edition_url: https://usdla.org/events/national-conference/ | https://usdla.org/events/call-for-proposals/; country: United States | USA; eligibility: Open across higher education, K-12, corporate, government, military, and telehealth; first-time speakers encouraged | Open to practitioners across multiple education and training sectors; first-time speakers encouraged; formats_and_durations: 45-minute concurrent; extended time may be requested; onsite or virtual | 45-minute concurrent session; onsite or virtual component; submission_requirements: 10-word title; 200-word abstract; detailed description; objectives; engagement plan; bio; no sales pitch | Detailed description, learning objectives, takeaways, and engagement plan; multiple proposals allowed; compensation: Not stated | unknown; travel_support: Not stated | unknown; speaker_costs: Presenter registration USD 300 onsite or USD 100 virtual; full-conference registration required | $300 onsite presenter registration; $100 virtual presenter fee; recording_rights: Abstracts published in program | unknown; attendance_value: Cross-sector distance-learning audience; attendance not verified | Cross-sector national distance-learning audience; verified_at: 2026-09-04T12:00:00-06:00 | 2026-09-04T23:00:00-06:00</x:v>
      </x:c>
      <x:c r="Y107" s="12" t="str">
        <x:v>https://usdla.org/events/call-for-proposals/</x:v>
      </x:c>
    </x:row>
    <x:row r="108" ht="33" customHeight="1">
      <x:c r="A108" s="12" t="n">
        <x:v>104</x:v>
      </x:c>
      <x:c r="B108" s="15" t="n">
        <x:f>ROUND(M108*Scoring!$B$3+N108*Scoring!$B$4+O108*Scoring!$B$5+(6-P108)*Scoring!$B$6+Q108*Scoring!$B$7,3)</x:f>
        <x:v>2.872</x:v>
      </x:c>
      <x:c r="C108" s="12" t="str">
        <x:v>conference/event</x:v>
      </x:c>
      <x:c r="D108" s="12" t="str">
        <x:v>Quality Land</x:v>
      </x:c>
      <x:c r="E108" s="12" t="str">
        <x:v>Quality Land 2027</x:v>
      </x:c>
      <x:c r="F108" s="12" t="str">
        <x:v>Vilnius, Lithuania</x:v>
      </x:c>
      <x:c r="G108" s="12" t="str">
        <x:v>in-person</x:v>
      </x:c>
      <x:c r="H108" s="18"/>
      <x:c r="I108" s="12" t="str">
        <x:v>open-undated</x:v>
      </x:c>
      <x:c r="J108" s="18"/>
      <x:c r="K108" s="12" t="str">
        <x:v>Stop Looking at My Benchmarks… Get Your Own!</x:v>
      </x:c>
      <x:c r="L108" s="12" t="str">
        <x:v>failure-improvement</x:v>
      </x:c>
      <x:c r="M108" s="12" t="n">
        <x:v>3</x:v>
      </x:c>
      <x:c r="N108" s="12" t="n">
        <x:v>2</x:v>
      </x:c>
      <x:c r="O108" s="12" t="n">
        <x:v>2.69</x:v>
      </x:c>
      <x:c r="P108" s="12" t="n">
        <x:v>2</x:v>
      </x:c>
      <x:c r="Q108" s="12" t="n">
        <x:v>3</x:v>
      </x:c>
      <x:c r="R108" s="12" t="str">
        <x:v>Other domestic location.</x:v>
      </x:c>
      <x:c r="S108" s="12" t="str">
        <x:v>Standard public proposal or organizer route with no hard requirement found.</x:v>
      </x:c>
      <x:c r="T108" s="12" t="str">
        <x:v>Public organizer/platform signal of at least 300.</x:v>
      </x:c>
      <x:c r="U108" s="12" t="str">
        <x:v>Explicit QA, automation, AI-in-testing and quality-engineering call; small regional room supports a focused discussion</x:v>
      </x:c>
      <x:c r="V108" s="12" t="str">
        <x:v>Pitch via public contact; formal requirements not published.</x:v>
      </x:c>
      <x:c r="W108" s="12" t="str">
        <x:v>Ask no questions yet; first prepare a short fit note and monitor page for terms</x:v>
      </x:c>
      <x:c r="X108" s="12" t="str">
        <x:v>Exact date, deadline, duration and economics absent; email proposal route only | Exact May dates, venue, deadline, language, speaker terms, rights, and accessibility unknown | Exact May 2027 date, deadline, language, format, economics, rights, accessibility and selection rules unknown. | MERGE CONFLICTS/VARIANTS — date_status: tentative month only | month-confirmed; cfp_url: https://qualityland.lt/ | mailto:signal@qualityland.lt; cfp_status: open-undated | open; submission_requirements: Pitch via public contact; formal requirements not published. | Email proposal to signal@qualityland.lt; attendance_value: 300 attendees advertised | 300; verified_at: 2026-09-05T00:24:00-06:00 | 2026-09-04T23:00:00-06:00</x:v>
      </x:c>
      <x:c r="Y108" s="12" t="str">
        <x:v>https://qualityland.lt/</x:v>
      </x:c>
    </x:row>
    <x:row r="109" ht="33" customHeight="1">
      <x:c r="A109" s="12" t="n">
        <x:v>105</x:v>
      </x:c>
      <x:c r="B109" s="15" t="n">
        <x:f>ROUND(M109*Scoring!$B$3+N109*Scoring!$B$4+O109*Scoring!$B$5+(6-P109)*Scoring!$B$6+Q109*Scoring!$B$7,3)</x:f>
        <x:v>2.885</x:v>
      </x:c>
      <x:c r="C109" s="12" t="str">
        <x:v>conference/event</x:v>
      </x:c>
      <x:c r="D109" s="12" t="str">
        <x:v>TestBash / Ministry of Testing</x:v>
      </x:c>
      <x:c r="E109" s="12" t="str">
        <x:v>Continuous Call for Contributions</x:v>
      </x:c>
      <x:c r="F109" s="12" t="str">
        <x:v>hybrid</x:v>
      </x:c>
      <x:c r="G109" s="12" t="str">
        <x:v>hybrid</x:v>
      </x:c>
      <x:c r="H109" s="18"/>
      <x:c r="I109" s="12" t="str">
        <x:v>rolling</x:v>
      </x:c>
      <x:c r="J109" s="18"/>
      <x:c r="K109" s="12" t="str">
        <x:v>Stop Looking at My Benchmarks… Get Your Own!</x:v>
      </x:c>
      <x:c r="L109" s="12" t="str"/>
      <x:c r="M109" s="12" t="n">
        <x:v>4</x:v>
      </x:c>
      <x:c r="N109" s="12" t="n">
        <x:v>2</x:v>
      </x:c>
      <x:c r="O109" s="12" t="n">
        <x:v>1.54</x:v>
      </x:c>
      <x:c r="P109" s="12" t="n">
        <x:v>2</x:v>
      </x:c>
      <x:c r="Q109" s="12" t="n">
        <x:v>3</x:v>
      </x:c>
      <x:c r="R109" s="12" t="str">
        <x:v>Overseas at or after the stated six-to-nine-month travel window, or an undated future overseas route.</x:v>
      </x:c>
      <x:c r="S109" s="12" t="str">
        <x:v>Standard public proposal or organizer route with no hard requirement found.</x:v>
      </x:c>
      <x:c r="T109" s="12" t="str">
        <x:v>Public organizer/platform signal of at least 350.</x:v>
      </x:c>
      <x:c r="U109" s="12" t="str">
        <x:v>Exact practitioner testing audience, rolling intake, practical format, and unusually clear travel/fee terms</x:v>
      </x:c>
      <x:c r="V109" s="12" t="str">
        <x:v>Continuous contribution proposal</x:v>
      </x:c>
      <x:c r="W109" s="12" t="str">
        <x:v>Submit only after choosing online versus in-person contribution and checking current rights</x:v>
      </x:c>
      <x:c r="X109" s="12" t="str">
        <x:v>No specific edition or response timeline; online talk may require pre-recording | Next matching edition/date, current review cadence, rights, and accessibility details unknown</x:v>
      </x:c>
      <x:c r="Y109" s="12" t="str">
        <x:v>https://www.ministryoftesting.com/software-testing-glossary/call-for-papers</x:v>
      </x:c>
    </x:row>
    <x:row r="110" ht="33" customHeight="1">
      <x:c r="A110" s="12" t="n">
        <x:v>106</x:v>
      </x:c>
      <x:c r="B110" s="15" t="n">
        <x:f>ROUND(M110*Scoring!$B$3+N110*Scoring!$B$4+O110*Scoring!$B$5+(6-P110)*Scoring!$B$6+Q110*Scoring!$B$7,3)</x:f>
        <x:v>2.89</x:v>
      </x:c>
      <x:c r="C110" s="12" t="str">
        <x:v>conference/event</x:v>
      </x:c>
      <x:c r="D110" s="12" t="str">
        <x:v>Optimizers Conference</x:v>
      </x:c>
      <x:c r="E110" s="12" t="str">
        <x:v>Optimizers Conference West 2027</x:v>
      </x:c>
      <x:c r="F110" s="12" t="str">
        <x:v>Santa Cruz, United States</x:v>
      </x:c>
      <x:c r="G110" s="12" t="str">
        <x:v>in-person</x:v>
      </x:c>
      <x:c r="H110" s="18" t="n">
        <x:v>46449.5</x:v>
      </x:c>
      <x:c r="I110" s="12" t="str">
        <x:v>attendee-led</x:v>
      </x:c>
      <x:c r="J110" s="18"/>
      <x:c r="K110" s="12" t="str">
        <x:v>Break the Mirror on Purpose</x:v>
      </x:c>
      <x:c r="L110" s="12" t="str">
        <x:v>judgment</x:v>
      </x:c>
      <x:c r="M110" s="12" t="n">
        <x:v>3</x:v>
      </x:c>
      <x:c r="N110" s="12" t="n">
        <x:v>2</x:v>
      </x:c>
      <x:c r="O110" s="12" t="n">
        <x:v>1.76</x:v>
      </x:c>
      <x:c r="P110" s="12" t="n">
        <x:v>1</x:v>
      </x:c>
      <x:c r="Q110" s="12" t="n">
        <x:v>4</x:v>
      </x:c>
      <x:c r="R110" s="12" t="str">
        <x:v>Other domestic location.</x:v>
      </x:c>
      <x:c r="S110" s="12" t="str">
        <x:v>Standard public proposal or organizer route with no hard requirement found.</x:v>
      </x:c>
      <x:c r="T110" s="12" t="str">
        <x:v>Little public popularity evidence beyond the event or route itself.</x:v>
      </x:c>
      <x:c r="U110" s="12" t="str">
        <x:v>Near-perfect experimentation/learning-loop audience; speaking route is attendee-led rather than a selected conference talk.</x:v>
      </x:c>
      <x:c r="V110" s="12" t="str">
        <x:v>Purchase/hold attendee place, then shape sessions in event app; not a guaranteed curated stage slot.</x:v>
      </x:c>
      <x:c r="W110" s="12" t="str">
        <x:v>Keep in a separate paid-attendee category until budget and travel preferences are supplied.</x:v>
      </x:c>
      <x:c r="X110" s="12" t="str">
        <x:v>Requires a paid ticket (USD 1595 at first available tier); no guaranteed stage; willingness to pay and travel unknown. | Travel, exact unconference format, selection/voting mechanics, recording and whether speakers receive any refund unknown.</x:v>
      </x:c>
      <x:c r="Y110" s="12" t="str">
        <x:v>https://optimizersconference.com/</x:v>
      </x:c>
    </x:row>
    <x:row r="111" ht="33" customHeight="1">
      <x:c r="A111" s="12" t="n">
        <x:v>107</x:v>
      </x:c>
      <x:c r="B111" s="15" t="n">
        <x:f>ROUND(M111*Scoring!$B$3+N111*Scoring!$B$4+O111*Scoring!$B$5+(6-P111)*Scoring!$B$6+Q111*Scoring!$B$7,3)</x:f>
        <x:v>2.895</x:v>
      </x:c>
      <x:c r="C111" s="12" t="str">
        <x:v>community/meetup</x:v>
      </x:c>
      <x:c r="D111" s="12" t="str">
        <x:v>PyData London monthly meetup</x:v>
      </x:c>
      <x:c r="E111" s="12" t="str">
        <x:v>Overseas from March 2027</x:v>
      </x:c>
      <x:c r="F111" s="12" t="str">
        <x:v>London, UK; in person</x:v>
      </x:c>
      <x:c r="G111" s="12" t="str">
        <x:v>in-person</x:v>
      </x:c>
      <x:c r="H111" s="18"/>
      <x:c r="I111" s="12" t="str">
        <x:v>public form/contact route</x:v>
      </x:c>
      <x:c r="J111" s="18"/>
      <x:c r="K111" s="12" t="str">
        <x:v>Three Search Methods in a Fundable Trenchcoat</x:v>
      </x:c>
      <x:c r="L111" s="12" t="str"/>
      <x:c r="M111" s="12" t="n">
        <x:v>4</x:v>
      </x:c>
      <x:c r="N111" s="12" t="n">
        <x:v>1</x:v>
      </x:c>
      <x:c r="O111" s="12" t="n">
        <x:v>2.38</x:v>
      </x:c>
      <x:c r="P111" s="12" t="n">
        <x:v>2</x:v>
      </x:c>
      <x:c r="Q111" s="12" t="n">
        <x:v>3</x:v>
      </x:c>
      <x:c r="R111" s="12" t="str">
        <x:v>Overseas at or after the stated six-to-nine-month travel window, or an undated future overseas route.</x:v>
      </x:c>
      <x:c r="S111" s="12" t="str">
        <x:v>Researcher-rated route and format effort; 1 is easiest and 5 is hardest.</x:v>
      </x:c>
      <x:c r="T111" s="12" t="str">
        <x:v>Public organizer/platform signal of at least 250.</x:v>
      </x:c>
      <x:c r="U111" s="12" t="str">
        <x:v>RT, BM, AS, FI, PA; possibly JU with executable evidence</x:v>
      </x:c>
      <x:c r="V111" s="12" t="str">
        <x:v>Standing talk proposal/contact route; 25-minute talk plus five-minute Q&amp;A or five-minute lightning talk</x:v>
      </x:c>
      <x:c r="W111" s="12" t="str">
        <x:v>Review the public route and decide whether to prepare the indicated talk or demo format.</x:v>
      </x:c>
      <x:c r="X111" s="12" t="str">
        <x:v>Python/data relevance must be concrete; strict no-product-pitch rule; speakers are unpaid and travel support is not stated. submission format, recurrence and demand</x:v>
      </x:c>
      <x:c r="Y111" s="12" t="str">
        <x:v>https://london.pydata.org/submit-a-talk/</x:v>
      </x:c>
    </x:row>
    <x:row r="112" ht="33" customHeight="1">
      <x:c r="A112" s="12" t="n">
        <x:v>108</x:v>
      </x:c>
      <x:c r="B112" s="15" t="n">
        <x:f>ROUND(M112*Scoring!$B$3+N112*Scoring!$B$4+O112*Scoring!$B$5+(6-P112)*Scoring!$B$6+Q112*Scoring!$B$7,3)</x:f>
        <x:v>2.9</x:v>
      </x:c>
      <x:c r="C112" s="12" t="str">
        <x:v>conference/event</x:v>
      </x:c>
      <x:c r="D112" s="12" t="str">
        <x:v>IEEE International Conference on Software Architecture</x:v>
      </x:c>
      <x:c r="E112" s="12" t="str">
        <x:v>ICSA 2027 Working Sessions</x:v>
      </x:c>
      <x:c r="F112" s="12" t="str">
        <x:v>Sydney, Australia</x:v>
      </x:c>
      <x:c r="G112" s="12" t="str">
        <x:v>in-person</x:v>
      </x:c>
      <x:c r="H112" s="18" t="n">
        <x:v>46454.5</x:v>
      </x:c>
      <x:c r="I112" s="12" t="str">
        <x:v>open</x:v>
      </x:c>
      <x:c r="J112" s="18" t="n">
        <x:v>46297.5</x:v>
      </x:c>
      <x:c r="K112" s="12" t="str">
        <x:v>Conjure Exactly Enough</x:v>
      </x:c>
      <x:c r="L112" s="12" t="str"/>
      <x:c r="M112" s="12" t="n">
        <x:v>3</x:v>
      </x:c>
      <x:c r="N112" s="12" t="n">
        <x:v>2</x:v>
      </x:c>
      <x:c r="O112" s="12" t="n">
        <x:v>2.6</x:v>
      </x:c>
      <x:c r="P112" s="12" t="n">
        <x:v>1</x:v>
      </x:c>
      <x:c r="Q112" s="12" t="n">
        <x:v>2</x:v>
      </x:c>
      <x:c r="R112" s="12" t="str">
        <x:v>Other domestic location.</x:v>
      </x:c>
      <x:c r="S112" s="12" t="str">
        <x:v>Standard public proposal or organizer route with no hard requirement found.</x:v>
      </x:c>
      <x:c r="T112" s="12" t="str">
        <x:v>Little public popularity evidence beyond the event or route itself.</x:v>
      </x:c>
      <x:c r="U112" s="12" t="str">
        <x:v>Strong theme fit but this is a collaborative working-session format, not the existing talk.</x:v>
      </x:c>
      <x:c r="V112" s="12" t="str">
        <x:v>Outline topic, why industry and academia should work on it, facilitator names, and proposed deliverable</x:v>
      </x:c>
      <x:c r="W112" s="12" t="str">
        <x:v>Do not treat as deck-ready; pursue only if collaborators and a workshop deliverable are identified by September 15.</x:v>
      </x:c>
      <x:c r="X112" s="12" t="str">
        <x:v>Likely needs co-facilitators and a concrete public deliverable; 90-180 minutes. | Requires substantial format conversion and likely co-facilitation; economics and rights unknown.</x:v>
      </x:c>
      <x:c r="Y112" s="12" t="str">
        <x:v>https://conf.researchr.org/track/icsa-2027/icsa-2027-working-sessions</x:v>
      </x:c>
    </x:row>
    <x:row r="113" ht="33" customHeight="1">
      <x:c r="A113" s="12" t="n">
        <x:v>109</x:v>
      </x:c>
      <x:c r="B113" s="15" t="n">
        <x:f>ROUND(M113*Scoring!$B$3+N113*Scoring!$B$4+O113*Scoring!$B$5+(6-P113)*Scoring!$B$6+Q113*Scoring!$B$7,3)</x:f>
        <x:v>2.9</x:v>
      </x:c>
      <x:c r="C113" s="12" t="str">
        <x:v>conference/event</x:v>
      </x:c>
      <x:c r="D113" s="12" t="str">
        <x:v>Incontro DevOps Italia</x:v>
      </x:c>
      <x:c r="E113" s="12" t="str">
        <x:v>Incontro DevOps Italia 2027</x:v>
      </x:c>
      <x:c r="F113" s="12" t="str">
        <x:v>Bologna, Italy</x:v>
      </x:c>
      <x:c r="G113" s="12" t="str">
        <x:v>hybrid</x:v>
      </x:c>
      <x:c r="H113" s="18" t="n">
        <x:v>46455.5</x:v>
      </x:c>
      <x:c r="I113" s="12" t="str">
        <x:v>open</x:v>
      </x:c>
      <x:c r="J113" s="18" t="n">
        <x:v>46369.5</x:v>
      </x:c>
      <x:c r="K113" s="12" t="str">
        <x:v>Compute, Please (and a Receipt)</x:v>
      </x:c>
      <x:c r="L113" s="12" t="str">
        <x:v>failure-improvement</x:v>
      </x:c>
      <x:c r="M113" s="12" t="n">
        <x:v>4</x:v>
      </x:c>
      <x:c r="N113" s="12" t="n">
        <x:v>2</x:v>
      </x:c>
      <x:c r="O113" s="12" t="n">
        <x:v>1.6</x:v>
      </x:c>
      <x:c r="P113" s="12" t="n">
        <x:v>2</x:v>
      </x:c>
      <x:c r="Q113" s="12" t="n">
        <x:v>3</x:v>
      </x:c>
      <x:c r="R113" s="12" t="str">
        <x:v>Overseas at or after the stated six-to-nine-month travel window, or an undated future overseas route.</x:v>
      </x:c>
      <x:c r="S113" s="12" t="str">
        <x:v>Standard public proposal or organizer route with no hard requirement found.</x:v>
      </x:c>
      <x:c r="T113" s="12" t="str">
        <x:v>Recurring program or sponsor/history evidence is visible; no strong comparable audience count was found.</x:v>
      </x:c>
      <x:c r="U113" s="12" t="str">
        <x:v>Exact 40-minute format and strong DevOps/platform audience; prior AIOps and agent-tooling sessions support appetite.</x:v>
      </x:c>
      <x:c r="V113" s="12" t="str">
        <x:v>Abstract, language, speaker profile and session details.</x:v>
      </x:c>
      <x:c r="W113" s="12" t="str">
        <x:v>Submit the existing 40-minute English version by December 13 after checking language expectations.</x:v>
      </x:c>
      <x:c r="X113" s="12" t="str">
        <x:v>Most attendees are Italian; travel reimbursement depends on unknown origin. | Travel origin and eligibility for reimbursement, rights, accessibility and attendance unknown.</x:v>
      </x:c>
      <x:c r="Y113" s="12" t="str">
        <x:v>https://sessionize.com/incontro-devops-italia-idi-2027/</x:v>
      </x:c>
    </x:row>
    <x:row r="114" ht="33" customHeight="1">
      <x:c r="A114" s="12" t="n">
        <x:v>110</x:v>
      </x:c>
      <x:c r="B114" s="15" t="n">
        <x:f>ROUND(M114*Scoring!$B$3+N114*Scoring!$B$4+O114*Scoring!$B$5+(6-P114)*Scoring!$B$6+Q114*Scoring!$B$7,3)</x:f>
        <x:v>2.905</x:v>
      </x:c>
      <x:c r="C114" s="12" t="str">
        <x:v>conference/event</x:v>
      </x:c>
      <x:c r="D114" s="12" t="str">
        <x:v>Fort Wayne Teaching and Learning Conference</x:v>
      </x:c>
      <x:c r="E114" s="12" t="str">
        <x:v>Fort Wayne Teaching and Learning Conference 2027</x:v>
      </x:c>
      <x:c r="F114" s="12" t="str">
        <x:v>Fort Wayne, United States</x:v>
      </x:c>
      <x:c r="G114" s="12" t="str">
        <x:v>in-person</x:v>
      </x:c>
      <x:c r="H114" s="18"/>
      <x:c r="I114" s="12" t="str">
        <x:v>announced-not-open</x:v>
      </x:c>
      <x:c r="J114" s="18"/>
      <x:c r="K114" s="12" t="str">
        <x:v>Outsmart Your Lying, Cheating Students</x:v>
      </x:c>
      <x:c r="L114" s="12" t="str"/>
      <x:c r="M114" s="12" t="n">
        <x:v>3</x:v>
      </x:c>
      <x:c r="N114" s="12" t="n">
        <x:v>2</x:v>
      </x:c>
      <x:c r="O114" s="12" t="n">
        <x:v>2.82</x:v>
      </x:c>
      <x:c r="P114" s="12" t="n">
        <x:v>2</x:v>
      </x:c>
      <x:c r="Q114" s="12" t="n">
        <x:v>3</x:v>
      </x:c>
      <x:c r="R114" s="12" t="str">
        <x:v>Other domestic location.</x:v>
      </x:c>
      <x:c r="S114" s="12" t="str">
        <x:v>Standard public proposal or organizer route with no hard requirement found.</x:v>
      </x:c>
      <x:c r="T114" s="12" t="str">
        <x:v>Recurring program or sponsor/history evidence is visible; no strong comparable audience count was found.</x:v>
      </x:c>
      <x:c r="U114" s="12" t="str">
        <x:v>Small regional teaching conference explicitly lists assessing student learning and says its 2027 CFP will open in October.</x:v>
      </x:c>
      <x:c r="V114" s="12" t="str">
        <x:v>2027 submission details pending</x:v>
      </x:c>
      <x:c r="W114" s="12" t="str">
        <x:v>Recheck in October; verify external eligibility and exact event date before preparing the 45-minute proposal.</x:v>
      </x:c>
      <x:c r="X114" s="12" t="str">
        <x:v>Regional/community opportunity; date, external-speaker eligibility, and costs unknown | Event date, opening/deadline, external-speaker eligibility, economics, rights, and accessibility unknown.</x:v>
      </x:c>
      <x:c r="Y114" s="12" t="str">
        <x:v>https://www.pfw.edu/faculty-support/teaching-and-learning-conference</x:v>
      </x:c>
    </x:row>
    <x:row r="115" ht="33" customHeight="1">
      <x:c r="A115" s="12" t="n">
        <x:v>111</x:v>
      </x:c>
      <x:c r="B115" s="15" t="n">
        <x:f>ROUND(M115*Scoring!$B$3+N115*Scoring!$B$4+O115*Scoring!$B$5+(6-P115)*Scoring!$B$6+Q115*Scoring!$B$7,3)</x:f>
        <x:v>2.928</x:v>
      </x:c>
      <x:c r="C115" s="12" t="str">
        <x:v>conference/event</x:v>
      </x:c>
      <x:c r="D115" s="12" t="str">
        <x:v>Ohio State Learning Design Day</x:v>
      </x:c>
      <x:c r="E115" s="12" t="str">
        <x:v>Ohio State Learning Design Day 2027</x:v>
      </x:c>
      <x:c r="F115" s="12" t="str">
        <x:v>Columbus, USA</x:v>
      </x:c>
      <x:c r="G115" s="12" t="str">
        <x:v>in-person</x:v>
      </x:c>
      <x:c r="H115" s="18" t="n">
        <x:v>46520.5</x:v>
      </x:c>
      <x:c r="I115" s="12" t="str">
        <x:v>open</x:v>
      </x:c>
      <x:c r="J115" s="18" t="n">
        <x:v>46341.5</x:v>
      </x:c>
      <x:c r="K115" s="12" t="str">
        <x:v>A Skeptic's Guide to Surviving AI in Education</x:v>
      </x:c>
      <x:c r="L115" s="12" t="str"/>
      <x:c r="M115" s="12" t="n">
        <x:v>3</x:v>
      </x:c>
      <x:c r="N115" s="12" t="n">
        <x:v>2</x:v>
      </x:c>
      <x:c r="O115" s="12" t="n">
        <x:v>2.31</x:v>
      </x:c>
      <x:c r="P115" s="12" t="n">
        <x:v>1</x:v>
      </x:c>
      <x:c r="Q115" s="12" t="n">
        <x:v>3</x:v>
      </x:c>
      <x:c r="R115" s="12" t="str">
        <x:v>Other domestic location.</x:v>
      </x:c>
      <x:c r="S115" s="12" t="str">
        <x:v>Standard public proposal or organizer route with no hard requirement found.</x:v>
      </x:c>
      <x:c r="T115" s="12" t="str">
        <x:v>Little public popularity evidence beyond the event or route itself.</x:v>
      </x:c>
      <x:c r="U115" s="12" t="str">
        <x:v>Tracks explicitly include generative AI, assessment/evaluation, reflective learning, and research-informed teaching</x:v>
      </x:c>
      <x:c r="V115" s="12" t="str">
        <x:v>Abstract max 500 words; 50-word description; 1-3 objectives; max two facilitators; accessibility integrated into materials</x:v>
      </x:c>
      <x:c r="W115" s="12" t="str">
        <x:v>Verify external eligibility via public documentation or organizer response only if outreach is later authorized; do not submit until resolved</x:v>
      </x:c>
      <x:c r="X115" s="12" t="str">
        <x:v>Inaugural, at least eight slots; external-speaker eligibility unclear; accessible deliverables mandatory | External eligibility, registration, compensation, travel, rights, and attendance unknown</x:v>
      </x:c>
      <x:c r="Y115" s="12" t="str">
        <x:v>https://cete.osu.edu/ohio-state-learning-design-day-call-for-proposals/</x:v>
      </x:c>
    </x:row>
    <x:row r="116" ht="33" customHeight="1">
      <x:c r="A116" s="12" t="n">
        <x:v>112</x:v>
      </x:c>
      <x:c r="B116" s="15" t="n">
        <x:f>ROUND(M116*Scoring!$B$3+N116*Scoring!$B$4+O116*Scoring!$B$5+(6-P116)*Scoring!$B$6+Q116*Scoring!$B$7,3)</x:f>
        <x:v>2.935</x:v>
      </x:c>
      <x:c r="C116" s="12" t="str">
        <x:v>conference/event</x:v>
      </x:c>
      <x:c r="D116" s="12" t="str">
        <x:v>Platform Engineering Day Europe</x:v>
      </x:c>
      <x:c r="E116" s="12" t="str">
        <x:v>Platform Engineering Day Europe 2027</x:v>
      </x:c>
      <x:c r="F116" s="12" t="str">
        <x:v>Barcelona, Spain</x:v>
      </x:c>
      <x:c r="G116" s="12" t="str">
        <x:v>in-person</x:v>
      </x:c>
      <x:c r="H116" s="18" t="n">
        <x:v>46461.5</x:v>
      </x:c>
      <x:c r="I116" s="12" t="str">
        <x:v>open</x:v>
      </x:c>
      <x:c r="J116" s="18" t="n">
        <x:v>46313.5</x:v>
      </x:c>
      <x:c r="K116" s="12" t="str">
        <x:v>Three Search Methods in a Fundable Trenchcoat</x:v>
      </x:c>
      <x:c r="L116" s="12" t="str">
        <x:v>adaptive-systems</x:v>
      </x:c>
      <x:c r="M116" s="12" t="n">
        <x:v>4</x:v>
      </x:c>
      <x:c r="N116" s="12" t="n">
        <x:v>2</x:v>
      </x:c>
      <x:c r="O116" s="12" t="n">
        <x:v>2.14</x:v>
      </x:c>
      <x:c r="P116" s="12" t="n">
        <x:v>2</x:v>
      </x:c>
      <x:c r="Q116" s="12" t="n">
        <x:v>2</x:v>
      </x:c>
      <x:c r="R116" s="12" t="str">
        <x:v>Overseas at or after the stated six-to-nine-month travel window, or an undated future overseas route.</x:v>
      </x:c>
      <x:c r="S116" s="12" t="str">
        <x:v>Standard public proposal or organizer route with no hard requirement found.</x:v>
      </x:c>
      <x:c r="T116" s="12" t="str">
        <x:v>Recurring program or sponsor/history evidence is visible; no strong comparable audience count was found.</x:v>
      </x:c>
      <x:c r="U116" s="12" t="str">
        <x:v>Platform Engineering Day explicitly covers agentic platforms and AI integration for platform teams.</x:v>
      </x:c>
      <x:c r="V116" s="12" t="str">
        <x:v>Platform engineering and AI is explicit; practical case studies favored</x:v>
      </x:c>
      <x:c r="W116" s="12" t="str">
        <x:v>Use AI Day as primary for retrieval thesis and Platform Day only as backup if multiple submissions are permitted.</x:v>
      </x:c>
      <x:c r="X116" s="12" t="str">
        <x:v>Shares CFP system/date with AI Day; a single proposal strategy should pick the better track; 25-minute adaptation needed | Topic fit depends on foregrounding planner/platform controls; travel/hotel/honorarium unknown. | Travel, hotel, honorarium, detailed form fields, reuse rules | MERGE CONFLICTS/VARIANTS — cfp_url: https://events.linuxfoundation.org/kubecon-cloudnativecon-europe/co-located-events/cncf-hosted-co-located-events-overview/ | https://events.linuxfoundation.org/kubecon-cloudnativecon-europe/co-located-events/cfp-colocated-events/; guidelines_url: https://events.linuxfoundation.org/kubecon-cloudnativecon-europe/co-located-events/platform-engineering-day/ | https://events.linuxfoundation.org/kubecon-cloudnativecon-europe/co-located-events/cfp-colocated-events/; eligibility: Public CFP; code-of-conduct agreement | unknown; formats_and_durations: 25-minute solo/dual presentation; 10-minute lightning; 35-minute panel | 25-minute presentation; 10-minute lightning; 35-minute panel; submission_requirements: Platform engineering and AI is explicit; practical case studies favored | Vendor-neutral; repeat restrictions; recording sample requested; compensation: Complimentary all-access pass | unknown; speaker_costs: Accepted co-located-event speakers receive an all-access pass | No mandatory registration stated for accepted speakers; recording_rights: Recorded and posted to CNCF YouTube; exact license not stated | recorded and published on CNCF YouTube; verified_at: 2026-09-04T12:00:00-06:00 | 2026-09-04T23:30:00-06:00</x:v>
      </x:c>
      <x:c r="Y116" s="12" t="str">
        <x:v>https://events.linuxfoundation.org/kubecon-cloudnativecon-europe/co-located-events/cncf-hosted-co-located-events-overview/</x:v>
      </x:c>
    </x:row>
    <x:row r="117" ht="33" customHeight="1">
      <x:c r="A117" s="12" t="n">
        <x:v>113</x:v>
      </x:c>
      <x:c r="B117" s="15" t="n">
        <x:f>ROUND(M117*Scoring!$B$3+N117*Scoring!$B$4+O117*Scoring!$B$5+(6-P117)*Scoring!$B$6+Q117*Scoring!$B$7,3)</x:f>
        <x:v>2.935</x:v>
      </x:c>
      <x:c r="C117" s="12" t="str">
        <x:v>conference/event</x:v>
      </x:c>
      <x:c r="D117" s="12" t="str">
        <x:v>KubeCon + CloudNativeCon Europe</x:v>
      </x:c>
      <x:c r="E117" s="12" t="str">
        <x:v>KubeCon + CloudNativeCon Europe 2027</x:v>
      </x:c>
      <x:c r="F117" s="12" t="str">
        <x:v>Barcelona, Spain</x:v>
      </x:c>
      <x:c r="G117" s="12" t="str">
        <x:v>in-person</x:v>
      </x:c>
      <x:c r="H117" s="18" t="n">
        <x:v>46461.5</x:v>
      </x:c>
      <x:c r="I117" s="12" t="str">
        <x:v>open</x:v>
      </x:c>
      <x:c r="J117" s="18" t="n">
        <x:v>46306.5</x:v>
      </x:c>
      <x:c r="K117" s="12" t="str">
        <x:v>Conjure Exactly Enough</x:v>
      </x:c>
      <x:c r="L117" s="12" t="str">
        <x:v>retrieval</x:v>
      </x:c>
      <x:c r="M117" s="12" t="n">
        <x:v>4</x:v>
      </x:c>
      <x:c r="N117" s="12" t="n">
        <x:v>5</x:v>
      </x:c>
      <x:c r="O117" s="12" t="n">
        <x:v>1.54</x:v>
      </x:c>
      <x:c r="P117" s="12" t="n">
        <x:v>5</x:v>
      </x:c>
      <x:c r="Q117" s="12" t="n">
        <x:v>2</x:v>
      </x:c>
      <x:c r="R117" s="12" t="str">
        <x:v>Overseas at or after the stated six-to-nine-month travel window, or an undated future overseas route.</x:v>
      </x:c>
      <x:c r="S117" s="12" t="str">
        <x:v>Hard credential, publication, domain, or firsthand-evidence requirement.</x:v>
      </x:c>
      <x:c r="T117" s="12" t="str">
        <x:v>Public organizer/platform signal of at least 13,000 members, registrations, attendees, or reach.</x:v>
      </x:c>
      <x:c r="U117" s="12" t="str">
        <x:v>2027 has an Agentic AI track explicitly naming agent architectures, multi-agent systems, AgentOps, governance, and observability.</x:v>
      </x:c>
      <x:c r="V117" s="12" t="str">
        <x:v>Original, non-sales content; select track; previous recording requested; accepted speakers provide slides.</x:v>
      </x:c>
      <x:c r="W117" s="12" t="str">
        <x:v>Create a 30-minute cloud-native variant and choose this as the primary CNCF submission rather than duplicating the same talk across all co-located events.</x:v>
      </x:c>
      <x:c r="X117" s="12" t="str">
        <x:v>Must emphasize open standards/cloud-native implementation and avoid proprietary product framing; maximum three proposals; repeat-talk restriction. | Travel/hotel support, honorarium, visa support, and speaker-recording license are unknown; Dan's travel origin/budget/eligibility are unknown. | Travel, compensation, accessibility details, and precise fit to open-source implementation unknown | Travel origin, funding eligibility, hotel, speaker costs, rights license, accessibility and current attendance unknown. | Travel/hotel/honorarium; speaker agreement and recording license; whether non-Kubernetes economics framing is technical enough | Travel, hotel, honorarium, speaker agreement, and whether bridge talk is technical enough | MERGE CONFLICTS/VARIANTS — date_status: exact | confirmed; eligibility: Maximum three submissions; generally one selected non-panel session; no repeat of a Linux Foundation event talk from the prior year. | Public CFP; code-of-conduct agreement; speaker experience recording requested; no biography-based eligibility inferred | Vendor-neutral, open/cloud-native relevance; repeat-talk and proposal-count rules | Open submitter route; end-user company status is separately defined and unknown for Dan | Open route; end-user company status separately defined and unknown; formats_and_durations: 30-minute session; 5-minute lightning; 80-minute tutorial; 30-minute panel | 30-minute session; 5-minute lightning; 80-minute tutorial; panel; poster | 30-minute session; 5-minute lightning; 80-minute tutorial; poster; panel | 30-minute session; 5-minute lightning talk; 80-minute tutorial; submission_requirements: Original, non-sales content; select track; previous recording requested; accepted speakers provide slides. | Maximum three proposals as named speaker; vendor-neutral/open-source emphasis; slides required if accepted | Abstract, outline, benefits, audience, speaker biography, and recording sample; maximum three proposals | Maximum three proposals; previous recording requested; no sales pitches; disclose related LF talks in past year | Maximum three proposals; prior recording requested; no sales pitches; disclose related LF talk in past year; compensation: Conference pass for accepted speakers. | Complimentary all-access pass | Complimentary pass | unknown; travel_support: Funding route referenced by organizer but current award details not established. | unknown; speaker_costs: One complimentary pass per accepted speaker | No mandatory registration stated for accepted speakers; recording_rights: Sessions are recorded; exact license/rights terms not established. | Sessions are ordinarily recorded; exact license/rights not found on CFP page | Sessions recorded under event terms | Accepted speakers must submit slides; recording-rights details not extracted | Slides required; recording license not extracted; attendance_value: Official sponsor page targets 13,000 developers, architects, and technical leaders | 13000 | 13,000 attendees claimed on sponsor page; verified_at: 2026-09-04T12:00:00-06:00 | 2026-09-04T23:30:00-06:00 | 2026-09-04T23:00:00-06:00 | 2026-09-04T23:25:00-06:00</x:v>
      </x:c>
      <x:c r="Y117" s="12" t="str">
        <x:v>https://events.linuxfoundation.org/kubecon-cloudnativecon-europe/program/cfp/</x:v>
      </x:c>
    </x:row>
    <x:row r="118" ht="33" customHeight="1">
      <x:c r="A118" s="12" t="n">
        <x:v>114</x:v>
      </x:c>
      <x:c r="B118" s="15" t="n">
        <x:f>ROUND(M118*Scoring!$B$3+N118*Scoring!$B$4+O118*Scoring!$B$5+(6-P118)*Scoring!$B$6+Q118*Scoring!$B$7,3)</x:f>
        <x:v>2.94</x:v>
      </x:c>
      <x:c r="C118" s="12" t="str">
        <x:v>conference/event</x:v>
      </x:c>
      <x:c r="D118" s="12" t="str">
        <x:v>eLearning Africa</x:v>
      </x:c>
      <x:c r="E118" s="12" t="str">
        <x:v>eLearning Africa 2027</x:v>
      </x:c>
      <x:c r="F118" s="12" t="str">
        <x:v>Lome, Togo</x:v>
      </x:c>
      <x:c r="G118" s="12" t="str">
        <x:v>in-person</x:v>
      </x:c>
      <x:c r="H118" s="18" t="n">
        <x:v>46533.5</x:v>
      </x:c>
      <x:c r="I118" s="12" t="str">
        <x:v>unknown</x:v>
      </x:c>
      <x:c r="J118" s="18"/>
      <x:c r="K118" s="12" t="str">
        <x:v>A Skeptic's Guide to Surviving AI in Education</x:v>
      </x:c>
      <x:c r="L118" s="12" t="str"/>
      <x:c r="M118" s="12" t="n">
        <x:v>4</x:v>
      </x:c>
      <x:c r="N118" s="12" t="n">
        <x:v>3</x:v>
      </x:c>
      <x:c r="O118" s="12" t="n">
        <x:v>2.36</x:v>
      </x:c>
      <x:c r="P118" s="12" t="n">
        <x:v>5</x:v>
      </x:c>
      <x:c r="Q118" s="12" t="n">
        <x:v>4</x:v>
      </x:c>
      <x:c r="R118" s="12" t="str">
        <x:v>Overseas at or after the stated six-to-nine-month travel window, or an undated future overseas route.</x:v>
      </x:c>
      <x:c r="S118" s="12" t="str">
        <x:v>Standard CFP plus registration, assets, review, or meaningful format adaptation.</x:v>
      </x:c>
      <x:c r="T118" s="12" t="str">
        <x:v>Public organizer/platform signal of at least 24,000 members, registrations, attendees, or reach.</x:v>
      </x:c>
      <x:c r="U118" s="12" t="str">
        <x:v>Cross-sector digital learning and policy audience fits, but local expertise is explicitly preferred</x:v>
      </x:c>
      <x:c r="V118" s="12" t="str">
        <x:v>Synopsis max 300 words, audience, outcomes, materials, experience, bio, headshot, organization details</x:v>
      </x:c>
      <x:c r="W118" s="12" t="str">
        <x:v>Do not call open. Recheck the proposal portal and only pursue with a credible African collaborator/context and budget authorization</x:v>
      </x:c>
      <x:c r="X118" s="12" t="str">
        <x:v>Form status conflicts; African practitioners preferred; speakers fund travel, hotel, and EUR 790-890 registration; no African context supplied | 2027 topic pages link to a form that still says 2026 deadline passed; status and deadline conflict; Dan's Africa connection and budget unknown</x:v>
      </x:c>
      <x:c r="Y118" s="12" t="str">
        <x:v>https://proposals.elearning-africa.com/</x:v>
      </x:c>
    </x:row>
    <x:row r="119" ht="33" customHeight="1">
      <x:c r="A119" s="12" t="n">
        <x:v>115</x:v>
      </x:c>
      <x:c r="B119" s="15" t="n">
        <x:f>ROUND(M119*Scoring!$B$3+N119*Scoring!$B$4+O119*Scoring!$B$5+(6-P119)*Scoring!$B$6+Q119*Scoring!$B$7,3)</x:f>
        <x:v>2.945</x:v>
      </x:c>
      <x:c r="C119" s="12" t="str">
        <x:v>community/meetup</x:v>
      </x:c>
      <x:c r="D119" s="12" t="str">
        <x:v>ACM Mile-High Video 2027</x:v>
      </x:c>
      <x:c r="E119" s="12" t="str">
        <x:v>Denver/Colorado</x:v>
      </x:c>
      <x:c r="F119" s="12" t="str">
        <x:v>Denver Botanic Gardens; in person</x:v>
      </x:c>
      <x:c r="G119" s="12" t="str">
        <x:v>in-person</x:v>
      </x:c>
      <x:c r="H119" s="18" t="n">
        <x:v>46441.5</x:v>
      </x:c>
      <x:c r="I119" s="12" t="str">
        <x:v>public form/contact route</x:v>
      </x:c>
      <x:c r="J119" s="18"/>
      <x:c r="K119" s="12" t="str">
        <x:v>Stop Looking at My Benchmarks… Get Your Own!</x:v>
      </x:c>
      <x:c r="L119" s="12" t="str"/>
      <x:c r="M119" s="12" t="n">
        <x:v>1</x:v>
      </x:c>
      <x:c r="N119" s="12" t="n">
        <x:v>5</x:v>
      </x:c>
      <x:c r="O119" s="12" t="n">
        <x:v>2.38</x:v>
      </x:c>
      <x:c r="P119" s="12" t="n">
        <x:v>1</x:v>
      </x:c>
      <x:c r="Q119" s="12" t="n">
        <x:v>3</x:v>
      </x:c>
      <x:c r="R119" s="12" t="str">
        <x:v>Exact preferred city.</x:v>
      </x:c>
      <x:c r="S119" s="12" t="str">
        <x:v>Researcher-rated route and format effort; 1 is easiest and 5 is hardest.</x:v>
      </x:c>
      <x:c r="T119" s="12" t="str">
        <x:v>Little public popularity evidence beyond the event or route itself.</x:v>
      </x:c>
      <x:c r="U119" s="12" t="str">
        <x:v>Benchmarks is an unusually strong fit if adapted to media quality; Adaptive, Retrieval, and Failure fit only with real video/media examples</x:v>
      </x:c>
      <x:c r="V119" s="12" t="str">
        <x:v>Submit a one-page, 300+ word extended abstract through HotCRP from the official CFP by 2026-10-09 AoE</x:v>
      </x:c>
      <x:c r="W119" s="12" t="str">
        <x:v>Review the public route and decide whether to prepare the indicated talk or demo format.</x:v>
      </x:c>
      <x:c r="X119" s="12" t="str"/>
      <x:c r="Y119" s="12" t="str">
        <x:v>https://www.mile-high.video/call-for-contributions</x:v>
      </x:c>
    </x:row>
    <x:row r="120" ht="33" customHeight="1">
      <x:c r="A120" s="12" t="n">
        <x:v>116</x:v>
      </x:c>
      <x:c r="B120" s="15" t="n">
        <x:f>ROUND(M120*Scoring!$B$3+N120*Scoring!$B$4+O120*Scoring!$B$5+(6-P120)*Scoring!$B$6+Q120*Scoring!$B$7,3)</x:f>
        <x:v>2.945</x:v>
      </x:c>
      <x:c r="C120" s="12" t="str">
        <x:v>conference/event</x:v>
      </x:c>
      <x:c r="D120" s="12" t="str">
        <x:v>CHEA Annual Conference</x:v>
      </x:c>
      <x:c r="E120" s="12" t="str">
        <x:v>CHEA 2027 Annual Conference</x:v>
      </x:c>
      <x:c r="F120" s="12" t="str">
        <x:v>Washington, DC, United States</x:v>
      </x:c>
      <x:c r="G120" s="12" t="str">
        <x:v>in-person</x:v>
      </x:c>
      <x:c r="H120" s="18" t="n">
        <x:v>46412.5</x:v>
      </x:c>
      <x:c r="I120" s="12" t="str">
        <x:v>open</x:v>
      </x:c>
      <x:c r="J120" s="18" t="n">
        <x:v>46276.5</x:v>
      </x:c>
      <x:c r="K120" s="12" t="str">
        <x:v>Outsmart Your Lying, Cheating Students</x:v>
      </x:c>
      <x:c r="L120" s="12" t="str">
        <x:v>skeptic-education</x:v>
      </x:c>
      <x:c r="M120" s="12" t="n">
        <x:v>3</x:v>
      </x:c>
      <x:c r="N120" s="12" t="n">
        <x:v>4</x:v>
      </x:c>
      <x:c r="O120" s="12" t="n">
        <x:v>2.18</x:v>
      </x:c>
      <x:c r="P120" s="12" t="n">
        <x:v>2</x:v>
      </x:c>
      <x:c r="Q120" s="12" t="n">
        <x:v>1</x:v>
      </x:c>
      <x:c r="R120" s="12" t="str">
        <x:v>Other domestic location.</x:v>
      </x:c>
      <x:c r="S120" s="12" t="str">
        <x:v>Requires recordings, membership/co-presenter status, real evidence, a demo, or substantial extra material.</x:v>
      </x:c>
      <x:c r="T120" s="12" t="str">
        <x:v>Recurring program or sponsor/history evidence is visible; no strong comparable audience count was found.</x:v>
      </x:c>
      <x:c r="U120" s="12" t="str">
        <x:v>Direct 2027 topics include student outcomes, evidence of learning, institutional integrity, and AI in teaching and QA.</x:v>
      </x:c>
      <x:c r="V120" s="12" t="str">
        <x:v>Official proposal form; quality assurance/accreditation/student-success relevance; varied perspectives; no commercial advertising</x:v>
      </x:c>
      <x:c r="W120" s="12" t="str">
        <x:v>Prepare a noncommercial 60-minute concurrent proposal and verify whether a solo submission satisfies the varied-perspectives criterion.</x:v>
      </x:c>
      <x:c r="X120" s="12" t="str">
        <x:v>FINALIST; deadline urgent; 60-minute slot needs added interaction; varied-perspective preference may favor a co-presenter; economics unknown | A co-presenter may be needed to satisfy the preference for varied perspectives; economics, rights, accessibility, and registration terms unknown. | Registration, compensation, travel, rights, accessibility, notification date, and Dan's quality-assurance credentials are unknown | MERGE CONFLICTS/VARIANTS — edition_url: https://www.chea.org/chea-2027-annual-conference-call-proposals | https://www.chea.org/chea-2027-annual-conference; city: Washington, DC | Washington DC; country: United States | USA; eligibility: Open to all; talk must relate to accreditation, quality assurance, or student success | Call open to all; concurrent sessions require one or two presenters; formats_and_durations: 60-minute plenary or concurrent sessions; concurrent allows one or two presenters | 60-minute plenary or concurrent session including participation/Q&amp;A; submission_requirements: Official proposal form; quality assurance/accreditation/student-success relevance; varied perspectives; no commercial advertising | Official form; noncommercial; varied perspectives; proposal must tie AI/evidence of learning to quality assurance; attendance_value: Accreditors, faculty, policymakers, leaders, and international colleagues | National and international accreditation/quality audience; verified_at: 2026-09-04T12:00:00-06:00 | 2026-09-04T23:00:00-06:00</x:v>
      </x:c>
      <x:c r="Y120" s="12" t="str">
        <x:v>https://www.chea.org/chea-2027-annual-conference-call-proposals</x:v>
      </x:c>
    </x:row>
    <x:row r="121" ht="33" customHeight="1">
      <x:c r="A121" s="12" t="n">
        <x:v>117</x:v>
      </x:c>
      <x:c r="B121" s="15" t="n">
        <x:f>ROUND(M121*Scoring!$B$3+N121*Scoring!$B$4+O121*Scoring!$B$5+(6-P121)*Scoring!$B$6+Q121*Scoring!$B$7,3)</x:f>
        <x:v>2.945</x:v>
      </x:c>
      <x:c r="C121" s="12" t="str">
        <x:v>community/meetup</x:v>
      </x:c>
      <x:c r="D121" s="12" t="str">
        <x:v>AI Tinkerers Amsterdam</x:v>
      </x:c>
      <x:c r="E121" s="12" t="str">
        <x:v>Overseas from March 2027</x:v>
      </x:c>
      <x:c r="F121" s="12" t="str">
        <x:v>Amsterdam, Netherlands; in person</x:v>
      </x:c>
      <x:c r="G121" s="12" t="str">
        <x:v>in-person</x:v>
      </x:c>
      <x:c r="H121" s="18"/>
      <x:c r="I121" s="12" t="str">
        <x:v>public form/contact route</x:v>
      </x:c>
      <x:c r="J121" s="18"/>
      <x:c r="K121" s="12" t="str">
        <x:v>The Pager Cried Wolf</x:v>
      </x:c>
      <x:c r="L121" s="12" t="str"/>
      <x:c r="M121" s="12" t="n">
        <x:v>4</x:v>
      </x:c>
      <x:c r="N121" s="12" t="n">
        <x:v>2</x:v>
      </x:c>
      <x:c r="O121" s="12" t="n">
        <x:v>2.38</x:v>
      </x:c>
      <x:c r="P121" s="12" t="n">
        <x:v>3</x:v>
      </x:c>
      <x:c r="Q121" s="12" t="n">
        <x:v>3</x:v>
      </x:c>
      <x:c r="R121" s="12" t="str">
        <x:v>Overseas at or after the stated six-to-nine-month travel window, or an undated future overseas route.</x:v>
      </x:c>
      <x:c r="S121" s="12" t="str">
        <x:v>Researcher-rated route and format effort; 1 is easiest and 5 is hardest.</x:v>
      </x:c>
      <x:c r="T121" s="12" t="str">
        <x:v>Public organizer/platform signal of at least 880.</x:v>
      </x:c>
      <x:c r="U121" s="12" t="str">
        <x:v>FI, AS, RT, BM, PA</x:v>
      </x:c>
      <x:c r="V121" s="12" t="str">
        <x:v>Event-specific proposal; past pages accepted seven-minute demos and 15–20-minute technical talks</x:v>
      </x:c>
      <x:c r="W121" s="12" t="str">
        <x:v>Review the public route and decide whether to prepare the indicated talk or demo format.</x:v>
      </x:c>
      <x:c r="X121" s="12" t="str">
        <x:v>Current future form was not open when checked; each edition sets its own format. Economics and 2027 dates unknown. Amsterdam event, route and stats, future-proposal status example</x:v>
      </x:c>
      <x:c r="Y121" s="12" t="str">
        <x:v>https://amsterdam.aitinkerers.org/p/ai-tinkerers-amsterdam-x-motherduck-may-demo-night</x:v>
      </x:c>
    </x:row>
    <x:row r="122" ht="33" customHeight="1">
      <x:c r="A122" s="12" t="n">
        <x:v>118</x:v>
      </x:c>
      <x:c r="B122" s="15" t="n">
        <x:f>ROUND(M122*Scoring!$B$3+N122*Scoring!$B$4+O122*Scoring!$B$5+(6-P122)*Scoring!$B$6+Q122*Scoring!$B$7,3)</x:f>
        <x:v>2.97</x:v>
      </x:c>
      <x:c r="C122" s="12" t="str">
        <x:v>conference/event</x:v>
      </x:c>
      <x:c r="D122" s="12" t="str">
        <x:v>DevOps Pro Europe</x:v>
      </x:c>
      <x:c r="E122" s="12" t="str">
        <x:v>DevOps Pro Europe 2027</x:v>
      </x:c>
      <x:c r="F122" s="12" t="str">
        <x:v>Riga, Latvia</x:v>
      </x:c>
      <x:c r="G122" s="12" t="str">
        <x:v>in-person</x:v>
      </x:c>
      <x:c r="H122" s="18" t="n">
        <x:v>46532.5</x:v>
      </x:c>
      <x:c r="I122" s="12" t="str">
        <x:v>open-undated</x:v>
      </x:c>
      <x:c r="J122" s="18"/>
      <x:c r="K122" s="12" t="str">
        <x:v>The Pager Cried Wolf</x:v>
      </x:c>
      <x:c r="L122" s="12" t="str">
        <x:v>parallelization</x:v>
      </x:c>
      <x:c r="M122" s="12" t="n">
        <x:v>4</x:v>
      </x:c>
      <x:c r="N122" s="12" t="n">
        <x:v>2</x:v>
      </x:c>
      <x:c r="O122" s="12" t="n">
        <x:v>2.48</x:v>
      </x:c>
      <x:c r="P122" s="12" t="n">
        <x:v>3</x:v>
      </x:c>
      <x:c r="Q122" s="12" t="n">
        <x:v>3</x:v>
      </x:c>
      <x:c r="R122" s="12" t="str">
        <x:v>Overseas at or after the stated six-to-nine-month travel window, or an undated future overseas route.</x:v>
      </x:c>
      <x:c r="S122" s="12" t="str">
        <x:v>Standard public proposal or organizer route with no hard requirement found.</x:v>
      </x:c>
      <x:c r="T122" s="12" t="str">
        <x:v>Public organizer/platform signal of at least 700.</x:v>
      </x:c>
      <x:c r="U122" s="12" t="str">
        <x:v>Good DevOps/SRE/platform audience; open route, but no closing date or session duration was published.</x:v>
      </x:c>
      <x:c r="V122" s="12" t="str">
        <x:v>English proposal for DevOps, SRE, platform or adjacent track.</x:v>
      </x:c>
      <x:c r="W122" s="12" t="str">
        <x:v>Recheck the Airtable call for deadline and duration before drafting.</x:v>
      </x:c>
      <x:c r="X122" s="12" t="str">
        <x:v>Deadline, format and economics unknown. | Deadline, format durations, economics, rights, accessibility and multiple-submission rules unknown. Attendance is an organizer projection.</x:v>
      </x:c>
      <x:c r="Y122" s="12" t="str">
        <x:v>https://devopsproeurope.eu/faq/</x:v>
      </x:c>
    </x:row>
    <x:row r="123" ht="33" customHeight="1">
      <x:c r="A123" s="12" t="n">
        <x:v>119</x:v>
      </x:c>
      <x:c r="B123" s="15" t="n">
        <x:f>ROUND(M123*Scoring!$B$3+N123*Scoring!$B$4+O123*Scoring!$B$5+(6-P123)*Scoring!$B$6+Q123*Scoring!$B$7,3)</x:f>
        <x:v>2.978</x:v>
      </x:c>
      <x:c r="C123" s="12" t="str">
        <x:v>conference/event</x:v>
      </x:c>
      <x:c r="D123" s="12" t="str">
        <x:v>FinOps x GreenOps France</x:v>
      </x:c>
      <x:c r="E123" s="12" t="str">
        <x:v>FinOps x GreenOps France rolling meetup route</x:v>
      </x:c>
      <x:c r="F123" s="12" t="str">
        <x:v>Paris, France</x:v>
      </x:c>
      <x:c r="G123" s="12" t="str">
        <x:v>in-person; recordings</x:v>
      </x:c>
      <x:c r="H123" s="18"/>
      <x:c r="I123" s="12" t="str">
        <x:v>rolling</x:v>
      </x:c>
      <x:c r="J123" s="18"/>
      <x:c r="K123" s="12" t="str">
        <x:v>Buy Me a Free Tier</x:v>
      </x:c>
      <x:c r="L123" s="12" t="str"/>
      <x:c r="M123" s="12" t="n">
        <x:v>4</x:v>
      </x:c>
      <x:c r="N123" s="12" t="n">
        <x:v>2</x:v>
      </x:c>
      <x:c r="O123" s="12" t="n">
        <x:v>2.51</x:v>
      </x:c>
      <x:c r="P123" s="12" t="n">
        <x:v>3</x:v>
      </x:c>
      <x:c r="Q123" s="12" t="n">
        <x:v>3</x:v>
      </x:c>
      <x:c r="R123" s="12" t="str">
        <x:v>Overseas at or after the stated six-to-nine-month travel window, or an undated future overseas route.</x:v>
      </x:c>
      <x:c r="S123" s="12" t="str">
        <x:v>Standard public proposal or organizer route with no hard requirement found.</x:v>
      </x:c>
      <x:c r="T123" s="12" t="str">
        <x:v>Public organizer/platform signal of at least 1,412.</x:v>
      </x:c>
      <x:c r="U123" s="12" t="str">
        <x:v>Large specialist community explicitly welcomes speakers across practitioner and vendor roles and maintains replays.</x:v>
      </x:c>
      <x:c r="V123" s="12" t="str">
        <x:v>Contact organizer through Meetup or listed LinkedIn route; no formal deadline</x:v>
      </x:c>
      <x:c r="W123" s="12" t="str">
        <x:v>Confirm language capability and wait for a dated call or later authorization to use the public organizer route.</x:v>
      </x:c>
      <x:c r="X123" s="12" t="str">
        <x:v>FINALIST; French delivery requirement unknown; contact route is organizer message, not a formal CFP; no outreach authorized | Presentation language, next date, selection criteria, format, economics, rights, and Dan's travel</x:v>
      </x:c>
      <x:c r="Y123" s="12" t="str">
        <x:v>https://www.meetup.com/fr-fr/meetup-cloud-finops-paris/</x:v>
      </x:c>
    </x:row>
    <x:row r="124" ht="33" customHeight="1">
      <x:c r="A124" s="12" t="n">
        <x:v>120</x:v>
      </x:c>
      <x:c r="B124" s="15" t="n">
        <x:f>ROUND(M124*Scoring!$B$3+N124*Scoring!$B$4+O124*Scoring!$B$5+(6-P124)*Scoring!$B$6+Q124*Scoring!$B$7,3)</x:f>
        <x:v>2.983</x:v>
      </x:c>
      <x:c r="C124" s="12" t="str">
        <x:v>conference/event</x:v>
      </x:c>
      <x:c r="D124" s="12" t="str">
        <x:v>MLOps Community</x:v>
      </x:c>
      <x:c r="E124" s="12" t="str">
        <x:v>MLOps Community rolling routes</x:v>
      </x:c>
      <x:c r="F124" s="12" t="str">
        <x:v>Global</x:v>
      </x:c>
      <x:c r="G124" s="12" t="str">
        <x:v>hybrid/remote</x:v>
      </x:c>
      <x:c r="H124" s="18"/>
      <x:c r="I124" s="12" t="str">
        <x:v>unknown</x:v>
      </x:c>
      <x:c r="J124" s="18"/>
      <x:c r="K124" s="12" t="str">
        <x:v>Conjure Exactly Enough</x:v>
      </x:c>
      <x:c r="L124" s="12" t="str"/>
      <x:c r="M124" s="12" t="n">
        <x:v>4</x:v>
      </x:c>
      <x:c r="N124" s="12" t="n">
        <x:v>2</x:v>
      </x:c>
      <x:c r="O124" s="12" t="n">
        <x:v>3.33</x:v>
      </x:c>
      <x:c r="P124" s="12" t="n">
        <x:v>5</x:v>
      </x:c>
      <x:c r="Q124" s="12" t="n">
        <x:v>4</x:v>
      </x:c>
      <x:c r="R124" s="12" t="str">
        <x:v>Overseas at or after the stated six-to-nine-month travel window, or an undated future overseas route.</x:v>
      </x:c>
      <x:c r="S124" s="12" t="str">
        <x:v>Standard public proposal or organizer route with no hard requirement found.</x:v>
      </x:c>
      <x:c r="T124" s="12" t="str">
        <x:v>Public organizer/platform signal of at least 90,000 members, registrations, attendees, or reach.</x:v>
      </x:c>
      <x:c r="U124" s="12" t="str">
        <x:v>Strong practitioner community and remote-friendly formats, but no open intake was verified.</x:v>
      </x:c>
      <x:c r="V124" s="12" t="str">
        <x:v>Past individual events expose a Submit a Talk route, but the checked agent-production event was closed</x:v>
      </x:c>
      <x:c r="W124" s="12" t="str">
        <x:v>Monitor the public events portal for a matching event with a live Submit a Talk control.</x:v>
      </x:c>
      <x:c r="X124" s="12" t="str">
        <x:v>Public route is unclear; past event-specific talk form was closed; no outreach authorized. | No verified open route or deadline; geography and chapter-level process unknown.</x:v>
      </x:c>
      <x:c r="Y124" s="12" t="str">
        <x:v>https://mlops.community/</x:v>
      </x:c>
    </x:row>
    <x:row r="125" ht="33" customHeight="1">
      <x:c r="A125" s="12" t="n">
        <x:v>121</x:v>
      </x:c>
      <x:c r="B125" s="15" t="n">
        <x:f>ROUND(M125*Scoring!$B$3+N125*Scoring!$B$4+O125*Scoring!$B$5+(6-P125)*Scoring!$B$6+Q125*Scoring!$B$7,3)</x:f>
        <x:v>2.995</x:v>
      </x:c>
      <x:c r="C125" s="12" t="str">
        <x:v>conference/event</x:v>
      </x:c>
      <x:c r="D125" s="12" t="str">
        <x:v>ProductTank</x:v>
      </x:c>
      <x:c r="E125" s="12" t="str">
        <x:v>ProductTank speaker directory and digital events</x:v>
      </x:c>
      <x:c r="F125" s="12" t="str">
        <x:v>online and local in-person</x:v>
      </x:c>
      <x:c r="G125" s="12" t="str">
        <x:v>online and local in-person</x:v>
      </x:c>
      <x:c r="H125" s="18"/>
      <x:c r="I125" s="12" t="str">
        <x:v>rolling</x:v>
      </x:c>
      <x:c r="J125" s="18"/>
      <x:c r="K125" s="12" t="str">
        <x:v>Break the Mirror on Purpose</x:v>
      </x:c>
      <x:c r="L125" s="12" t="str">
        <x:v>judgment</x:v>
      </x:c>
      <x:c r="M125" s="12" t="n">
        <x:v>4</x:v>
      </x:c>
      <x:c r="N125" s="12" t="n">
        <x:v>2</x:v>
      </x:c>
      <x:c r="O125" s="12" t="n">
        <x:v>1.98</x:v>
      </x:c>
      <x:c r="P125" s="12" t="n">
        <x:v>2</x:v>
      </x:c>
      <x:c r="Q125" s="12" t="n">
        <x:v>3</x:v>
      </x:c>
      <x:c r="R125" s="12" t="str">
        <x:v>Overseas at or after the stated six-to-nine-month travel window, or an undated future overseas route.</x:v>
      </x:c>
      <x:c r="S125" s="12" t="str">
        <x:v>Standard public proposal or organizer route with no hard requirement found.</x:v>
      </x:c>
      <x:c r="T125" s="12" t="str">
        <x:v>Recurring program or sponsor/history evidence is visible; no strong comparable audience count was found.</x:v>
      </x:c>
      <x:c r="U125" s="12" t="str">
        <x:v>Direct product community, low-formality rolling route and good rehearsal value.</x:v>
      </x:c>
      <x:c r="V125" s="12" t="str">
        <x:v>Join speaker directory; individual organizer selects opportunities.</x:v>
      </x:c>
      <x:c r="W125" s="12" t="str">
        <x:v>Prepare a reusable directory profile and only select chapters after region/remote preferences are known.</x:v>
      </x:c>
      <x:c r="X125" s="12" t="str">
        <x:v>No specific edition, deadline, economics or format; location preferences unknown. | No specific edition, deadline, format, economics, recording terms, accessibility or audience size; location preferences unknown.</x:v>
      </x:c>
      <x:c r="Y125" s="12" t="str">
        <x:v>https://support.mindtheproduct.com/hc/en-us/articles/40000576495508-Nominate-a-ProductTank-speaker</x:v>
      </x:c>
    </x:row>
    <x:row r="126" ht="33" customHeight="1">
      <x:c r="A126" s="12" t="n">
        <x:v>122</x:v>
      </x:c>
      <x:c r="B126" s="15" t="n">
        <x:f>ROUND(M126*Scoring!$B$3+N126*Scoring!$B$4+O126*Scoring!$B$5+(6-P126)*Scoring!$B$6+Q126*Scoring!$B$7,3)</x:f>
        <x:v>2.995</x:v>
      </x:c>
      <x:c r="C126" s="12" t="str">
        <x:v>community/meetup</x:v>
      </x:c>
      <x:c r="D126" s="12" t="str">
        <x:v>AI Tinkerers Paris</x:v>
      </x:c>
      <x:c r="E126" s="12" t="str">
        <x:v>Overseas from March 2027</x:v>
      </x:c>
      <x:c r="F126" s="12" t="str">
        <x:v>Paris, France; in person</x:v>
      </x:c>
      <x:c r="G126" s="12" t="str">
        <x:v>in-person</x:v>
      </x:c>
      <x:c r="H126" s="18"/>
      <x:c r="I126" s="12" t="str">
        <x:v>public form/contact route</x:v>
      </x:c>
      <x:c r="J126" s="18"/>
      <x:c r="K126" s="12" t="str">
        <x:v>The Pager Cried Wolf</x:v>
      </x:c>
      <x:c r="L126" s="12" t="str"/>
      <x:c r="M126" s="12" t="n">
        <x:v>4</x:v>
      </x:c>
      <x:c r="N126" s="12" t="n">
        <x:v>3</x:v>
      </x:c>
      <x:c r="O126" s="12" t="n">
        <x:v>2.38</x:v>
      </x:c>
      <x:c r="P126" s="12" t="n">
        <x:v>4</x:v>
      </x:c>
      <x:c r="Q126" s="12" t="n">
        <x:v>3</x:v>
      </x:c>
      <x:c r="R126" s="12" t="str">
        <x:v>Overseas at or after the stated six-to-nine-month travel window, or an undated future overseas route.</x:v>
      </x:c>
      <x:c r="S126" s="12" t="str">
        <x:v>Researcher-rated route and format effort; 1 is easiest and 5 is hardest.</x:v>
      </x:c>
      <x:c r="T126" s="12" t="str">
        <x:v>Public organizer/platform signal of at least 4,263.</x:v>
      </x:c>
      <x:c r="U126" s="12" t="str">
        <x:v>FI, AS, RT, BM, PA as five-minute demos</x:v>
      </x:c>
      <x:c r="V126" s="12" t="str">
        <x:v>Event-specific technical-demo proposal and organizer contact</x:v>
      </x:c>
      <x:c r="W126" s="12" t="str">
        <x:v>Review the public route and decide whether to prepare the indicated talk or demo format.</x:v>
      </x:c>
      <x:c r="X126" s="12" t="str">
        <x:v>Requires code, architecture or a live pipeline; no slide-only talk. Future calendar, language expectation and economics unknown. Paris route, format and stats</x:v>
      </x:c>
      <x:c r="Y126" s="12" t="str">
        <x:v>https://paris.aitinkerers.org/p/docker-raise</x:v>
      </x:c>
    </x:row>
    <x:row r="127" ht="33" customHeight="1">
      <x:c r="A127" s="12" t="n">
        <x:v>123</x:v>
      </x:c>
      <x:c r="B127" s="15" t="n">
        <x:f>ROUND(M127*Scoring!$B$3+N127*Scoring!$B$4+O127*Scoring!$B$5+(6-P127)*Scoring!$B$6+Q127*Scoring!$B$7,3)</x:f>
        <x:v>2.995</x:v>
      </x:c>
      <x:c r="C127" s="12" t="str">
        <x:v>community/meetup</x:v>
      </x:c>
      <x:c r="D127" s="12" t="str">
        <x:v>AI Tinkerers Singapore</x:v>
      </x:c>
      <x:c r="E127" s="12" t="str">
        <x:v>Overseas from March 2027</x:v>
      </x:c>
      <x:c r="F127" s="12" t="str">
        <x:v>Singapore; in person</x:v>
      </x:c>
      <x:c r="G127" s="12" t="str">
        <x:v>in-person</x:v>
      </x:c>
      <x:c r="H127" s="18"/>
      <x:c r="I127" s="12" t="str">
        <x:v>public form/contact route</x:v>
      </x:c>
      <x:c r="J127" s="18"/>
      <x:c r="K127" s="12" t="str">
        <x:v>The Pager Cried Wolf</x:v>
      </x:c>
      <x:c r="L127" s="12" t="str"/>
      <x:c r="M127" s="12" t="n">
        <x:v>4</x:v>
      </x:c>
      <x:c r="N127" s="12" t="n">
        <x:v>3</x:v>
      </x:c>
      <x:c r="O127" s="12" t="n">
        <x:v>2.38</x:v>
      </x:c>
      <x:c r="P127" s="12" t="n">
        <x:v>4</x:v>
      </x:c>
      <x:c r="Q127" s="12" t="n">
        <x:v>3</x:v>
      </x:c>
      <x:c r="R127" s="12" t="str">
        <x:v>Overseas at or after the stated six-to-nine-month travel window, or an undated future overseas route.</x:v>
      </x:c>
      <x:c r="S127" s="12" t="str">
        <x:v>Researcher-rated route and format effort; 1 is easiest and 5 is hardest.</x:v>
      </x:c>
      <x:c r="T127" s="12" t="str">
        <x:v>Public organizer/platform signal of at least 1,519.</x:v>
      </x:c>
      <x:c r="U127" s="12" t="str">
        <x:v>FI, AS, RT, BM, PA, technical FT</x:v>
      </x:c>
      <x:c r="V127" s="12" t="str">
        <x:v>Event-specific live-demo proposal</x:v>
      </x:c>
      <x:c r="W127" s="12" t="str">
        <x:v>Review the public route and decide whether to prepare the indicated talk or demo format.</x:v>
      </x:c>
      <x:c r="X127" s="12" t="str">
        <x:v>Five-to-seven-minute live demo, active-project proof and screened attendance; no slide-only talk. Future calendar and speaker support unknown. Singapore route, format and stats</x:v>
      </x:c>
      <x:c r="Y127" s="12" t="str">
        <x:v>https://singapore.aitinkerers.org/p/ai-tinkerers-x-elevenlabs-side-quests-demo-night</x:v>
      </x:c>
    </x:row>
    <x:row r="128" ht="33" customHeight="1">
      <x:c r="A128" s="12" t="n">
        <x:v>124</x:v>
      </x:c>
      <x:c r="B128" s="15" t="n">
        <x:f>ROUND(M128*Scoring!$B$3+N128*Scoring!$B$4+O128*Scoring!$B$5+(6-P128)*Scoring!$B$6+Q128*Scoring!$B$7,3)</x:f>
        <x:v>2.997</x:v>
      </x:c>
      <x:c r="C128" s="12" t="str">
        <x:v>conference/event</x:v>
      </x:c>
      <x:c r="D128" s="12" t="str">
        <x:v>AINext Awards &amp; Conference</x:v>
      </x:c>
      <x:c r="E128" s="12" t="str">
        <x:v>AINext US 2027</x:v>
      </x:c>
      <x:c r="F128" s="12" t="str">
        <x:v>United States</x:v>
      </x:c>
      <x:c r="G128" s="12" t="str">
        <x:v>in-person</x:v>
      </x:c>
      <x:c r="H128" s="18" t="n">
        <x:v>46486.5</x:v>
      </x:c>
      <x:c r="I128" s="12" t="str">
        <x:v>open-undated</x:v>
      </x:c>
      <x:c r="J128" s="18"/>
      <x:c r="K128" s="12" t="str">
        <x:v>Turn Your Thinkin' Tokens Up to 11</x:v>
      </x:c>
      <x:c r="L128" s="12" t="str">
        <x:v>product-engineering</x:v>
      </x:c>
      <x:c r="M128" s="12" t="n">
        <x:v>3</x:v>
      </x:c>
      <x:c r="N128" s="12" t="n">
        <x:v>2</x:v>
      </x:c>
      <x:c r="O128" s="12" t="n">
        <x:v>2.59</x:v>
      </x:c>
      <x:c r="P128" s="12" t="n">
        <x:v>1</x:v>
      </x:c>
      <x:c r="Q128" s="12" t="n">
        <x:v>3</x:v>
      </x:c>
      <x:c r="R128" s="12" t="str">
        <x:v>Other domestic location.</x:v>
      </x:c>
      <x:c r="S128" s="12" t="str">
        <x:v>Standard public proposal or organizer route with no hard requirement found.</x:v>
      </x:c>
      <x:c r="T128" s="12" t="str">
        <x:v>Little public popularity evidence beyond the event or route itself.</x:v>
      </x:c>
      <x:c r="U128" s="12" t="str">
        <x:v>Applied-AI operators and founders are a reasonable audience; program detail and deadline are absent.</x:v>
      </x:c>
      <x:c r="V128" s="12" t="str">
        <x:v>Edition selection and application through organizer portal.</x:v>
      </x:c>
      <x:c r="W128" s="12" t="str">
        <x:v>Inspect the full application only after logistics preferences are known; do not infer a cutoff.</x:v>
      </x:c>
      <x:c r="X128" s="12" t="str">
        <x:v>City, deadline, format, economics and past-session evidence unknown. | City, deadline, selection requirements, economics, rights, accessibility and attendance unknown.</x:v>
      </x:c>
      <x:c r="Y128" s="12" t="str">
        <x:v>https://ainextconference.com/apply-to-speak</x:v>
      </x:c>
    </x:row>
    <x:row r="129" ht="33" customHeight="1">
      <x:c r="A129" s="12" t="n">
        <x:v>125</x:v>
      </x:c>
      <x:c r="B129" s="15" t="n">
        <x:f>ROUND(M129*Scoring!$B$3+N129*Scoring!$B$4+O129*Scoring!$B$5+(6-P129)*Scoring!$B$6+Q129*Scoring!$B$7,3)</x:f>
        <x:v>3.008</x:v>
      </x:c>
      <x:c r="C129" s="12" t="str">
        <x:v>conference/event</x:v>
      </x:c>
      <x:c r="D129" s="12" t="str">
        <x:v>Agentics Day: MCP + Agents Europe</x:v>
      </x:c>
      <x:c r="E129" s="12" t="str">
        <x:v>Agentics Day: MCP + Agents Europe 2027</x:v>
      </x:c>
      <x:c r="F129" s="12" t="str">
        <x:v>Barcelona, Spain</x:v>
      </x:c>
      <x:c r="G129" s="12" t="str">
        <x:v>in-person</x:v>
      </x:c>
      <x:c r="H129" s="18" t="n">
        <x:v>46461.5</x:v>
      </x:c>
      <x:c r="I129" s="12" t="str">
        <x:v>open</x:v>
      </x:c>
      <x:c r="J129" s="18" t="n">
        <x:v>46313.5</x:v>
      </x:c>
      <x:c r="K129" s="12" t="str">
        <x:v>The Pager Cried Wolf</x:v>
      </x:c>
      <x:c r="L129" s="12" t="str">
        <x:v>adaptive-systems</x:v>
      </x:c>
      <x:c r="M129" s="12" t="n">
        <x:v>4</x:v>
      </x:c>
      <x:c r="N129" s="12" t="n">
        <x:v>2</x:v>
      </x:c>
      <x:c r="O129" s="12" t="n">
        <x:v>1.83</x:v>
      </x:c>
      <x:c r="P129" s="12" t="n">
        <x:v>1</x:v>
      </x:c>
      <x:c r="Q129" s="12" t="n">
        <x:v>2</x:v>
      </x:c>
      <x:c r="R129" s="12" t="str">
        <x:v>Overseas at or after the stated six-to-nine-month travel window, or an undated future overseas route.</x:v>
      </x:c>
      <x:c r="S129" s="12" t="str">
        <x:v>Standard public proposal or organizer route with no hard requirement found.</x:v>
      </x:c>
      <x:c r="T129" s="12" t="str">
        <x:v>Little public popularity evidence beyond the event or route itself.</x:v>
      </x:c>
      <x:c r="U129" s="12" t="str">
        <x:v>Purpose-built agent audience and explicit reliability/debugging interests; current deck needs only a moderate cut.</x:v>
      </x:c>
      <x:c r="V129" s="12" t="str">
        <x:v>Original, non-sales proposal aligned to production agents/MCP; accepted speaker receives event access.</x:v>
      </x:c>
      <x:c r="W129" s="12" t="str">
        <x:v>Cut the demo and intervention hierarchy to 25 minutes and submit by October 18.</x:v>
      </x:c>
      <x:c r="X129" s="12" t="str">
        <x:v>25-minute cap; likely topic competition; travel/economics unknown. | Travel/hotel support, honorarium, visa support, and exact recording license are unknown; 25-minute adaptation required. | Travel, hotel, speaker costs, rights license, accessibility and attendance unknown. Existing 30-minute deck needs a 25-minute cut. | MERGE CONFLICTS/VARIANTS — guidelines_url: https://events.linuxfoundation.org/kubecon-cloudnativecon-europe/co-located-events/agentics-day-mcp-agents/ | https://events.linuxfoundation.org/kubecon-cloudnativecon-europe/co-located-events/cfp-colocated-events/; eligibility: Public CFP; general Linux Foundation speaker rules apply. | Public CFP; code-of-conduct agreement; submission_requirements: Original, non-sales proposal aligned to production agents/MCP; accepted speaker receives event access. | Choose co-located event; vendor-neutral; prior Linux Foundation repeat within one year must be materially differentiated; recording sample requested; compensation: Event pass for accepted speakers. | Complimentary all-access pass; recording_rights: Sessions expected to be recorded; exact rights terms not established. | Official overview says co-located sessions are recorded and posted to CNCF YouTube</x:v>
      </x:c>
      <x:c r="Y129" s="12" t="str">
        <x:v>https://events.linuxfoundation.org/kubecon-cloudnativecon-europe/co-located-events/cfp-colocated-events/</x:v>
      </x:c>
    </x:row>
    <x:row r="130" ht="33" customHeight="1">
      <x:c r="A130" s="12" t="n">
        <x:v>126</x:v>
      </x:c>
      <x:c r="B130" s="15" t="n">
        <x:f>ROUND(M130*Scoring!$B$3+N130*Scoring!$B$4+O130*Scoring!$B$5+(6-P130)*Scoring!$B$6+Q130*Scoring!$B$7,3)</x:f>
        <x:v>3.03</x:v>
      </x:c>
      <x:c r="C130" s="12" t="str">
        <x:v>conference/event</x:v>
      </x:c>
      <x:c r="D130" s="12" t="str">
        <x:v>Swiss Testing Day</x:v>
      </x:c>
      <x:c r="E130" s="12" t="str">
        <x:v>Swiss Testing Day 2027</x:v>
      </x:c>
      <x:c r="F130" s="12" t="str">
        <x:v>Zurich, Switzerland</x:v>
      </x:c>
      <x:c r="G130" s="12" t="str">
        <x:v>in-person</x:v>
      </x:c>
      <x:c r="H130" s="18" t="n">
        <x:v>46485.5</x:v>
      </x:c>
      <x:c r="I130" s="12" t="str">
        <x:v>open</x:v>
      </x:c>
      <x:c r="J130" s="18" t="n">
        <x:v>46326.5</x:v>
      </x:c>
      <x:c r="K130" s="12" t="str">
        <x:v>The Pager Cried Wolf</x:v>
      </x:c>
      <x:c r="L130" s="12" t="str">
        <x:v>parallelization</x:v>
      </x:c>
      <x:c r="M130" s="12" t="n">
        <x:v>4</x:v>
      </x:c>
      <x:c r="N130" s="12" t="n">
        <x:v>2</x:v>
      </x:c>
      <x:c r="O130" s="12" t="n">
        <x:v>2.12</x:v>
      </x:c>
      <x:c r="P130" s="12" t="n">
        <x:v>2</x:v>
      </x:c>
      <x:c r="Q130" s="12" t="n">
        <x:v>3</x:v>
      </x:c>
      <x:c r="R130" s="12" t="str">
        <x:v>Overseas at or after the stated six-to-nine-month travel window, or an undated future overseas route.</x:v>
      </x:c>
      <x:c r="S130" s="12" t="str">
        <x:v>Standard public proposal or organizer route with no hard requirement found.</x:v>
      </x:c>
      <x:c r="T130" s="12" t="str">
        <x:v>Recurring program or sponsor/history evidence is visible; no strong comparable audience count was found.</x:v>
      </x:c>
      <x:c r="U130" s="12" t="str">
        <x:v>Conference explicitly asks for facts over hype, failed experiments, AI governance and nondeterministic-system testing.</x:v>
      </x:c>
      <x:c r="V130" s="12" t="str">
        <x:v>Proposal, abstract and speaker profile.</x:v>
      </x:c>
      <x:c r="W130" s="12" t="str">
        <x:v>Submit the existing 30-minute variant after verifying language and travel constraints.</x:v>
      </x:c>
      <x:c r="X130" s="12" t="str">
        <x:v>Travel/hotel and presentation language not established. | Language, travel/hotel, recording rights, accessibility, attendance and multiple-submission rules unknown.</x:v>
      </x:c>
      <x:c r="Y130" s="12" t="str">
        <x:v>https://sessionize.com/swiss-testing-day-2027/</x:v>
      </x:c>
    </x:row>
    <x:row r="131" ht="33" customHeight="1">
      <x:c r="A131" s="12" t="n">
        <x:v>127</x:v>
      </x:c>
      <x:c r="B131" s="15" t="n">
        <x:f>ROUND(M131*Scoring!$B$3+N131*Scoring!$B$4+O131*Scoring!$B$5+(6-P131)*Scoring!$B$6+Q131*Scoring!$B$7,3)</x:f>
        <x:v>3.095</x:v>
      </x:c>
      <x:c r="C131" s="12" t="str">
        <x:v>community/meetup</x:v>
      </x:c>
      <x:c r="D131" s="12" t="str">
        <x:v>fintech_devcon 2027</x:v>
      </x:c>
      <x:c r="E131" s="12" t="str">
        <x:v>Denver/Colorado</x:v>
      </x:c>
      <x:c r="F131" s="12" t="str">
        <x:v>Boulder; in person</x:v>
      </x:c>
      <x:c r="G131" s="12" t="str">
        <x:v>in-person</x:v>
      </x:c>
      <x:c r="H131" s="18" t="n">
        <x:v>46601.5</x:v>
      </x:c>
      <x:c r="I131" s="12" t="str">
        <x:v>public form/contact route</x:v>
      </x:c>
      <x:c r="J131" s="18"/>
      <x:c r="K131" s="12" t="str">
        <x:v>Break the Mirror on Purpose</x:v>
      </x:c>
      <x:c r="L131" s="12" t="str"/>
      <x:c r="M131" s="12" t="n">
        <x:v>2</x:v>
      </x:c>
      <x:c r="N131" s="12" t="n">
        <x:v>5</x:v>
      </x:c>
      <x:c r="O131" s="12" t="n">
        <x:v>2.38</x:v>
      </x:c>
      <x:c r="P131" s="12" t="n">
        <x:v>2</x:v>
      </x:c>
      <x:c r="Q131" s="12" t="n">
        <x:v>3</x:v>
      </x:c>
      <x:c r="R131" s="12" t="str">
        <x:v>Near a preferred city or within the Denver/Front Range area.</x:v>
      </x:c>
      <x:c r="S131" s="12" t="str">
        <x:v>Researcher-rated route and format effort; 1 is easiest and 5 is hardest.</x:v>
      </x:c>
      <x:c r="T131" s="12" t="str">
        <x:v>Recurring program or sponsor/history evidence is visible; no strong comparable audience count was found.</x:v>
      </x:c>
      <x:c r="U131" s="12" t="str">
        <x:v>Product, Judgment, Adaptive, Benchmarks, Retrieval, Failure, and Parallelization—only with a real fintech roadblock</x:v>
      </x:c>
      <x:c r="V131" s="12" t="str">
        <x:v>Official speaker form closes 2027-03-01 at 11:59 p.m. PST</x:v>
      </x:c>
      <x:c r="W131" s="12" t="str">
        <x:v>Review the public route and decide whether to prepare the indicated talk or demo format.</x:v>
      </x:c>
      <x:c r="X131" s="12" t="str"/>
      <x:c r="Y131" s="12" t="str">
        <x:v>https://fintechdevcon.io/call-for-speakers/</x:v>
      </x:c>
    </x:row>
    <x:row r="132" ht="33" customHeight="1">
      <x:c r="A132" s="12" t="n">
        <x:v>128</x:v>
      </x:c>
      <x:c r="B132" s="15" t="n">
        <x:f>ROUND(M132*Scoring!$B$3+N132*Scoring!$B$4+O132*Scoring!$B$5+(6-P132)*Scoring!$B$6+Q132*Scoring!$B$7,3)</x:f>
        <x:v>3.095</x:v>
      </x:c>
      <x:c r="C132" s="12" t="str">
        <x:v>community/meetup</x:v>
      </x:c>
      <x:c r="D132" s="12" t="str">
        <x:v>Cloud Native Amsterdam</x:v>
      </x:c>
      <x:c r="E132" s="12" t="str">
        <x:v>Overseas from March 2027</x:v>
      </x:c>
      <x:c r="F132" s="12" t="str">
        <x:v>Amsterdam, Netherlands; in person</x:v>
      </x:c>
      <x:c r="G132" s="12" t="str">
        <x:v>in-person</x:v>
      </x:c>
      <x:c r="H132" s="18"/>
      <x:c r="I132" s="12" t="str">
        <x:v>public form/contact route</x:v>
      </x:c>
      <x:c r="J132" s="18"/>
      <x:c r="K132" s="12" t="str">
        <x:v>The Pager Cried Wolf</x:v>
      </x:c>
      <x:c r="L132" s="12" t="str"/>
      <x:c r="M132" s="12" t="n">
        <x:v>4</x:v>
      </x:c>
      <x:c r="N132" s="12" t="n">
        <x:v>2</x:v>
      </x:c>
      <x:c r="O132" s="12" t="n">
        <x:v>2.38</x:v>
      </x:c>
      <x:c r="P132" s="12" t="n">
        <x:v>2</x:v>
      </x:c>
      <x:c r="Q132" s="12" t="n">
        <x:v>3</x:v>
      </x:c>
      <x:c r="R132" s="12" t="str">
        <x:v>Overseas at or after the stated six-to-nine-month travel window, or an undated future overseas route.</x:v>
      </x:c>
      <x:c r="S132" s="12" t="str">
        <x:v>Researcher-rated route and format effort; 1 is easiest and 5 is hardest.</x:v>
      </x:c>
      <x:c r="T132" s="12" t="str">
        <x:v>Public organizer/platform signal of at least 413.</x:v>
      </x:c>
      <x:c r="U132" s="12" t="str">
        <x:v>FI, AS, RT, BM, PA, technical FT</x:v>
      </x:c>
      <x:c r="V132" s="12" t="str">
        <x:v>Official chapter publishes a direct talk-proposal email and organizer contact form</x:v>
      </x:c>
      <x:c r="W132" s="12" t="str">
        <x:v>Review the public route and decide whether to prepare the indicated talk or demo format.</x:v>
      </x:c>
      <x:c r="X132" s="12" t="str">
        <x:v>Format, language, economics and future dates unknown. Email outreach was not performed. official chapter and proposal route</x:v>
      </x:c>
      <x:c r="Y132" s="12" t="str">
        <x:v>https://community.cncf.io/cloud-native-amsterdam/</x:v>
      </x:c>
    </x:row>
    <x:row r="133" ht="33" customHeight="1">
      <x:c r="A133" s="12" t="n">
        <x:v>129</x:v>
      </x:c>
      <x:c r="B133" s="15" t="n">
        <x:f>ROUND(M133*Scoring!$B$3+N133*Scoring!$B$4+O133*Scoring!$B$5+(6-P133)*Scoring!$B$6+Q133*Scoring!$B$7,3)</x:f>
        <x:v>3.095</x:v>
      </x:c>
      <x:c r="C133" s="12" t="str">
        <x:v>community/meetup</x:v>
      </x:c>
      <x:c r="D133" s="12" t="str">
        <x:v>Cloud Native Berlin</x:v>
      </x:c>
      <x:c r="E133" s="12" t="str">
        <x:v>Overseas from March 2027</x:v>
      </x:c>
      <x:c r="F133" s="12" t="str">
        <x:v>Berlin, Germany; in person</x:v>
      </x:c>
      <x:c r="G133" s="12" t="str">
        <x:v>in-person</x:v>
      </x:c>
      <x:c r="H133" s="18"/>
      <x:c r="I133" s="12" t="str">
        <x:v>public form/contact route</x:v>
      </x:c>
      <x:c r="J133" s="18"/>
      <x:c r="K133" s="12" t="str">
        <x:v>The Pager Cried Wolf</x:v>
      </x:c>
      <x:c r="L133" s="12" t="str"/>
      <x:c r="M133" s="12" t="n">
        <x:v>4</x:v>
      </x:c>
      <x:c r="N133" s="12" t="n">
        <x:v>2</x:v>
      </x:c>
      <x:c r="O133" s="12" t="n">
        <x:v>2.38</x:v>
      </x:c>
      <x:c r="P133" s="12" t="n">
        <x:v>2</x:v>
      </x:c>
      <x:c r="Q133" s="12" t="n">
        <x:v>3</x:v>
      </x:c>
      <x:c r="R133" s="12" t="str">
        <x:v>Overseas at or after the stated six-to-nine-month travel window, or an undated future overseas route.</x:v>
      </x:c>
      <x:c r="S133" s="12" t="str">
        <x:v>Researcher-rated route and format effort; 1 is easiest and 5 is hardest.</x:v>
      </x:c>
      <x:c r="T133" s="12" t="str">
        <x:v>Recurring program or sponsor/history evidence is visible; no strong comparable audience count was found.</x:v>
      </x:c>
      <x:c r="U133" s="12" t="str">
        <x:v>FI, AS, RT, BM, PA, technical FT</x:v>
      </x:c>
      <x:c r="V133" s="12" t="str">
        <x:v>Public topic-proposal form linked from official CNCF event pages</x:v>
      </x:c>
      <x:c r="W133" s="12" t="str">
        <x:v>Review the public route and decide whether to prepare the indicated talk or demo format.</x:v>
      </x:c>
      <x:c r="X133" s="12" t="str">
        <x:v>Current proposal-form status, language, duration and economics need recheck. official event and proposal link, CNCF community activity rules</x:v>
      </x:c>
      <x:c r="Y133" s="12" t="str">
        <x:v>https://community.cncf.io/events/details/cncf-cloud-native-berlin-presents-kubernetes-amp-cloud-native-berlin-meetup-pre-kubecon-special/</x:v>
      </x:c>
    </x:row>
    <x:row r="134" ht="33" customHeight="1">
      <x:c r="A134" s="12" t="n">
        <x:v>130</x:v>
      </x:c>
      <x:c r="B134" s="15" t="n">
        <x:f>ROUND(M134*Scoring!$B$3+N134*Scoring!$B$4+O134*Scoring!$B$5+(6-P134)*Scoring!$B$6+Q134*Scoring!$B$7,3)</x:f>
        <x:v>3.117</x:v>
      </x:c>
      <x:c r="C134" s="12" t="str">
        <x:v>conference/event</x:v>
      </x:c>
      <x:c r="D134" s="12" t="str">
        <x:v>INQAAHE Biennial Conference</x:v>
      </x:c>
      <x:c r="E134" s="12" t="str">
        <x:v>INQAAHE Conference 2027</x:v>
      </x:c>
      <x:c r="F134" s="12" t="str">
        <x:v>Doha, Qatar</x:v>
      </x:c>
      <x:c r="G134" s="12" t="str">
        <x:v>in-person</x:v>
      </x:c>
      <x:c r="H134" s="18" t="n">
        <x:v>46481.5</x:v>
      </x:c>
      <x:c r="I134" s="12" t="str">
        <x:v>open</x:v>
      </x:c>
      <x:c r="J134" s="18" t="n">
        <x:v>46326.5</x:v>
      </x:c>
      <x:c r="K134" s="12" t="str">
        <x:v>Outsmart Your Lying, Cheating Students</x:v>
      </x:c>
      <x:c r="L134" s="12" t="str"/>
      <x:c r="M134" s="12" t="n">
        <x:v>4</x:v>
      </x:c>
      <x:c r="N134" s="12" t="n">
        <x:v>2</x:v>
      </x:c>
      <x:c r="O134" s="12" t="n">
        <x:v>1.87</x:v>
      </x:c>
      <x:c r="P134" s="12" t="n">
        <x:v>1</x:v>
      </x:c>
      <x:c r="Q134" s="12" t="n">
        <x:v>3</x:v>
      </x:c>
      <x:c r="R134" s="12" t="str">
        <x:v>Overseas at or after the stated six-to-nine-month travel window, or an undated future overseas route.</x:v>
      </x:c>
      <x:c r="S134" s="12" t="str">
        <x:v>Standard public proposal or organizer route with no hard requirement found.</x:v>
      </x:c>
      <x:c r="T134" s="12" t="str">
        <x:v>Little public popularity evidence beyond the event or route itself.</x:v>
      </x:c>
      <x:c r="U134" s="12" t="str">
        <x:v>The 2027 subtheme names authorship, assessment validity, qualification credibility, and human-centered AI; prior program shows strong appetite.</x:v>
      </x:c>
      <x:c r="V134" s="12" t="str">
        <x:v>Forward-looking, critical, practice-oriented proposal; accessible to international QA audience; interactive</x:v>
      </x:c>
      <x:c r="W134" s="12" t="str">
        <x:v>Reframe from classroom tactics to a QA case about what evidence institutions should require and how humans review it.</x:v>
      </x:c>
      <x:c r="X134" s="12" t="str">
        <x:v>FINALIST; international QA framing and possible credentials expectations; travel/economics unknown | Speaker economics, visa support, rights, accessibility, registration requirements, and Dan's QA credentials are unknown.</x:v>
      </x:c>
      <x:c r="Y134" s="12" t="str">
        <x:v>https://inqaahe2027-doha.org/call-for-proposals/</x:v>
      </x:c>
    </x:row>
    <x:row r="135" ht="33" customHeight="1">
      <x:c r="A135" s="12" t="n">
        <x:v>131</x:v>
      </x:c>
      <x:c r="B135" s="15" t="n">
        <x:f>ROUND(M135*Scoring!$B$3+N135*Scoring!$B$4+O135*Scoring!$B$5+(6-P135)*Scoring!$B$6+Q135*Scoring!$B$7,3)</x:f>
        <x:v>3.12</x:v>
      </x:c>
      <x:c r="C135" s="12" t="str">
        <x:v>conference/event</x:v>
      </x:c>
      <x:c r="D135" s="12" t="str">
        <x:v>Bett UK</x:v>
      </x:c>
      <x:c r="E135" s="12" t="str">
        <x:v>Bett UK 2027</x:v>
      </x:c>
      <x:c r="F135" s="12" t="str">
        <x:v>London, UK</x:v>
      </x:c>
      <x:c r="G135" s="12" t="str">
        <x:v>in-person</x:v>
      </x:c>
      <x:c r="H135" s="18" t="n">
        <x:v>46407.5</x:v>
      </x:c>
      <x:c r="I135" s="12" t="str">
        <x:v>rolling</x:v>
      </x:c>
      <x:c r="J135" s="18"/>
      <x:c r="K135" s="12" t="str">
        <x:v>A Skeptic's Guide to Surviving AI in Education</x:v>
      </x:c>
      <x:c r="L135" s="12" t="str"/>
      <x:c r="M135" s="12" t="n">
        <x:v>5</x:v>
      </x:c>
      <x:c r="N135" s="12" t="n">
        <x:v>3</x:v>
      </x:c>
      <x:c r="O135" s="12" t="n">
        <x:v>2.28</x:v>
      </x:c>
      <x:c r="P135" s="12" t="n">
        <x:v>5</x:v>
      </x:c>
      <x:c r="Q135" s="12" t="n">
        <x:v>3</x:v>
      </x:c>
      <x:c r="R135" s="12" t="str">
        <x:v>Overseas before the stated six-month travel window.</x:v>
      </x:c>
      <x:c r="S135" s="12" t="str">
        <x:v>Standard CFP plus registration, assets, review, or meaningful format adaptation.</x:v>
      </x:c>
      <x:c r="T135" s="12" t="str">
        <x:v>Public organizer/platform signal of at least 37,000 members, registrations, attendees, or reach.</x:v>
      </x:c>
      <x:c r="U135" s="12" t="str">
        <x:v>Bett asks for practical, evidence-informed, strategic sessions and specifically wants assessment, feedback, AI, workload, and student engagement</x:v>
      </x:c>
      <x:c r="V135" s="12" t="str">
        <x:v>Bio max 150 words, headshot, title, description, three takeaways, target audience; speaking links optional</x:v>
      </x:c>
      <x:c r="W135" s="12" t="str">
        <x:v>Treat as reserve/2028 lead; verify speaker economics before supplying profile materials</x:v>
      </x:c>
      <x:c r="X135" s="12" t="str">
        <x:v>First-look deadline passed; current submissions feed reserve list or 2028; headshot, bio, job title, and organization required and not supplied | First-look deadline passed; reserve-list status and selection timing unclear; economics, rights, and Dan's job title/organization unknown</x:v>
      </x:c>
      <x:c r="Y135" s="12" t="str">
        <x:v>https://uk.bettshow.com/call-for-speakers</x:v>
      </x:c>
    </x:row>
    <x:row r="136" ht="33" customHeight="1">
      <x:c r="A136" s="12" t="n">
        <x:v>132</x:v>
      </x:c>
      <x:c r="B136" s="15" t="n">
        <x:f>ROUND(M136*Scoring!$B$3+N136*Scoring!$B$4+O136*Scoring!$B$5+(6-P136)*Scoring!$B$6+Q136*Scoring!$B$7,3)</x:f>
        <x:v>3.203</x:v>
      </x:c>
      <x:c r="C136" s="12" t="str">
        <x:v>conference/event</x:v>
      </x:c>
      <x:c r="D136" s="12" t="str">
        <x:v>European Chatbot &amp; Agentic AI Summit</x:v>
      </x:c>
      <x:c r="E136" s="12" t="str">
        <x:v>European Chatbot &amp; Agentic AI Summit 2027</x:v>
      </x:c>
      <x:c r="F136" s="12" t="str">
        <x:v>Edinburgh, UK</x:v>
      </x:c>
      <x:c r="G136" s="12" t="str">
        <x:v>in-person</x:v>
      </x:c>
      <x:c r="H136" s="18" t="n">
        <x:v>46462.5</x:v>
      </x:c>
      <x:c r="I136" s="12" t="str">
        <x:v>conflicting-official-pages</x:v>
      </x:c>
      <x:c r="J136" s="18" t="n">
        <x:v>46296.5</x:v>
      </x:c>
      <x:c r="K136" s="12" t="str">
        <x:v>Three Search Methods in a Fundable Trenchcoat</x:v>
      </x:c>
      <x:c r="L136" s="12" t="str"/>
      <x:c r="M136" s="12" t="n">
        <x:v>4</x:v>
      </x:c>
      <x:c r="N136" s="12" t="n">
        <x:v>2</x:v>
      </x:c>
      <x:c r="O136" s="12" t="n">
        <x:v>2.61</x:v>
      </x:c>
      <x:c r="P136" s="12" t="n">
        <x:v>1</x:v>
      </x:c>
      <x:c r="Q136" s="12" t="n">
        <x:v>2</x:v>
      </x:c>
      <x:c r="R136" s="12" t="str">
        <x:v>Overseas at or after the stated six-to-nine-month travel window, or an undated future overseas route.</x:v>
      </x:c>
      <x:c r="S136" s="12" t="str">
        <x:v>Standard public proposal or organizer route with no hard requirement found.</x:v>
      </x:c>
      <x:c r="T136" s="12" t="str">
        <x:v>Little public popularity evidence beyond the event or route itself.</x:v>
      </x:c>
      <x:c r="U136" s="12" t="str">
        <x:v>RAG, agentic AI, LLMOps, infrastructure, and human-AI collaboration are named topics.</x:v>
      </x:c>
      <x:c r="V136" s="12" t="str">
        <x:v>unknown</x:v>
      </x:c>
      <x:c r="W136" s="12" t="str">
        <x:v>Recheck the speaker form and event dates; do not rely on October 1 until status conflict is resolved.</x:v>
      </x:c>
      <x:c r="X136" s="12" t="str">
        <x:v>Official homepage conflicts with CFP page on open status and event dates; formats/economics unknown | CFP page says March 16–19; homepage says March 16–18 and main event March 17–18; homepage also says CFP opens soon while CFP page invites applications; formats and economics unknown</x:v>
      </x:c>
      <x:c r="Y136" s="12" t="str">
        <x:v>https://theeuropeanchatbot.com/call-for-speakers/</x:v>
      </x:c>
    </x:row>
    <x:row r="137" ht="33" customHeight="1">
      <x:c r="A137" s="12" t="n">
        <x:v>133</x:v>
      </x:c>
      <x:c r="B137" s="15" t="n">
        <x:f>ROUND(M137*Scoring!$B$3+N137*Scoring!$B$4+O137*Scoring!$B$5+(6-P137)*Scoring!$B$6+Q137*Scoring!$B$7,3)</x:f>
        <x:v>3.27</x:v>
      </x:c>
      <x:c r="C137" s="12" t="str">
        <x:v>conference/event</x:v>
      </x:c>
      <x:c r="D137" s="12" t="str">
        <x:v>Bett Asia</x:v>
      </x:c>
      <x:c r="E137" s="12" t="str">
        <x:v>Bett Asia 2027 reserve/forward call</x:v>
      </x:c>
      <x:c r="F137" s="12" t="str">
        <x:v>unknown</x:v>
      </x:c>
      <x:c r="G137" s="12" t="str">
        <x:v>unknown</x:v>
      </x:c>
      <x:c r="H137" s="18"/>
      <x:c r="I137" s="12" t="str">
        <x:v>rolling</x:v>
      </x:c>
      <x:c r="J137" s="18"/>
      <x:c r="K137" s="12" t="str">
        <x:v>A Skeptic's Guide to Surviving AI in Education</x:v>
      </x:c>
      <x:c r="L137" s="12" t="str"/>
      <x:c r="M137" s="12" t="n">
        <x:v>4</x:v>
      </x:c>
      <x:c r="N137" s="12" t="n">
        <x:v>2</x:v>
      </x:c>
      <x:c r="O137" s="12" t="n">
        <x:v>2.48</x:v>
      </x:c>
      <x:c r="P137" s="12" t="n">
        <x:v>1</x:v>
      </x:c>
      <x:c r="Q137" s="12" t="n">
        <x:v>3</x:v>
      </x:c>
      <x:c r="R137" s="12" t="str">
        <x:v>Overseas at or after the stated six-to-nine-month travel window, or an undated future overseas route.</x:v>
      </x:c>
      <x:c r="S137" s="12" t="str">
        <x:v>Standard public proposal or organizer route with no hard requirement found.</x:v>
      </x:c>
      <x:c r="T137" s="12" t="str">
        <x:v>Little public popularity evidence beyond the event or route itself.</x:v>
      </x:c>
      <x:c r="U137" s="12" t="str">
        <x:v>Good audience and editorial fit; current form accepts reserve-list/2027 proposals</x:v>
      </x:c>
      <x:c r="V137" s="12" t="str">
        <x:v>Form requests profile and proposal information; exact limits not fully captured</x:v>
      </x:c>
      <x:c r="W137" s="12" t="str">
        <x:v>Keep as incomplete rolling lead; verify edition details before any submission</x:v>
      </x:c>
      <x:c r="X137" s="12" t="str">
        <x:v>No 2027 dates/deadline/location; economics and selection timing unknown | No 2027 edition date, deadline, location, economics, rights, or accessibility confirmed; form says reserve list or 2027</x:v>
      </x:c>
      <x:c r="Y137" s="12" t="str">
        <x:v>https://asia.bettshow.com/page-en/call-for-papers</x:v>
      </x:c>
    </x:row>
    <x:row r="138" ht="33" customHeight="1">
      <x:c r="A138" s="12" t="n">
        <x:v>134</x:v>
      </x:c>
      <x:c r="B138" s="15" t="n">
        <x:f>ROUND(M138*Scoring!$B$3+N138*Scoring!$B$4+O138*Scoring!$B$5+(6-P138)*Scoring!$B$6+Q138*Scoring!$B$7,3)</x:f>
        <x:v>3.285</x:v>
      </x:c>
      <x:c r="C138" s="12" t="str">
        <x:v>conference/event</x:v>
      </x:c>
      <x:c r="D138" s="12" t="str">
        <x:v>CTO Craft Con Europe</x:v>
      </x:c>
      <x:c r="E138" s="12" t="str">
        <x:v>CTO Craft Con Europe 2027</x:v>
      </x:c>
      <x:c r="F138" s="12" t="str">
        <x:v>London, United Kingdom</x:v>
      </x:c>
      <x:c r="G138" s="12" t="str">
        <x:v>in-person</x:v>
      </x:c>
      <x:c r="H138" s="18" t="n">
        <x:v>46461.5</x:v>
      </x:c>
      <x:c r="I138" s="12" t="str">
        <x:v>open-undated-with-stale-label</x:v>
      </x:c>
      <x:c r="J138" s="18"/>
      <x:c r="K138" s="12" t="str">
        <x:v>Turn Your Thinkin' Tokens Up to 11</x:v>
      </x:c>
      <x:c r="L138" s="12" t="str">
        <x:v>failure-improvement</x:v>
      </x:c>
      <x:c r="M138" s="12" t="n">
        <x:v>4</x:v>
      </x:c>
      <x:c r="N138" s="12" t="n">
        <x:v>3</x:v>
      </x:c>
      <x:c r="O138" s="12" t="n">
        <x:v>2.34</x:v>
      </x:c>
      <x:c r="P138" s="12" t="n">
        <x:v>2</x:v>
      </x:c>
      <x:c r="Q138" s="12" t="n">
        <x:v>3</x:v>
      </x:c>
      <x:c r="R138" s="12" t="str">
        <x:v>Overseas at or after the stated six-to-nine-month travel window, or an undated future overseas route.</x:v>
      </x:c>
      <x:c r="S138" s="12" t="str">
        <x:v>Standard CFP plus registration, assets, review, or meaningful format adaptation.</x:v>
      </x:c>
      <x:c r="T138" s="12" t="str">
        <x:v>Recurring program or sponsor/history evidence is visible; no strong comparable audience count was found.</x:v>
      </x:c>
      <x:c r="U138" s="12" t="str">
        <x:v>Senior CTO and VP Engineering audience is exact; public content form exists but carries stale edition labeling.</x:v>
      </x:c>
      <x:c r="V138" s="12" t="str">
        <x:v>Experience-led content, biography and previous-talk information.</x:v>
      </x:c>
      <x:c r="W138" s="12" t="str">
        <x:v>Wait until the call identifies the 2027 edition unambiguously, then confirm eligibility.</x:v>
      </x:c>
      <x:c r="X138" s="12" t="str">
        <x:v>Call page title references 2026 while event shell shows 2027; deadline and Dan's senior-leadership credentials are unknown. | Deadline, format, travel/hotel, fee, accessibility, attendance and Dan's senior-leadership eligibility evidence unknown. | Edition labeling conflict; deadline, format, travel/hotel, fee, rights license, accessibility and attendance unknown. | MERGE CONFLICTS/VARIANTS — cfp_status: open-undated-with-stale-label | open-undated; eligibility: Public form is reachable but page title references 2026 while event shell shows 2027 dates. | Experienced senior technology leaders; public application route.; submission_requirements: Experience-led content, biography and previous-talk information. | Experience-led proposal; bio and prior talks requested.; verified_at: 2026-09-04T22:25:00-06:00 | 2026-09-05T00:20:00-06:00</x:v>
      </x:c>
      <x:c r="Y138" s="12" t="str">
        <x:v>https://conference.ctocraft.com/london/call-for-content/</x:v>
      </x:c>
    </x:row>
    <x:row r="139" ht="33" customHeight="1">
      <x:c r="A139" s="12" t="n">
        <x:v>135</x:v>
      </x:c>
      <x:c r="B139" s="15" t="n">
        <x:f>ROUND(M139*Scoring!$B$3+N139*Scoring!$B$4+O139*Scoring!$B$5+(6-P139)*Scoring!$B$6+Q139*Scoring!$B$7,3)</x:f>
        <x:v>3.295</x:v>
      </x:c>
      <x:c r="C139" s="12" t="str">
        <x:v>conference/event</x:v>
      </x:c>
      <x:c r="D139" s="12" t="str">
        <x:v>LDX3 London / LeadDev</x:v>
      </x:c>
      <x:c r="E139" s="12" t="str">
        <x:v>LDX3 London 2027</x:v>
      </x:c>
      <x:c r="F139" s="12" t="str">
        <x:v>London, UK</x:v>
      </x:c>
      <x:c r="G139" s="12" t="str">
        <x:v>in-person</x:v>
      </x:c>
      <x:c r="H139" s="18" t="n">
        <x:v>46566.5</x:v>
      </x:c>
      <x:c r="I139" s="12" t="str">
        <x:v>announced-not-open</x:v>
      </x:c>
      <x:c r="J139" s="18"/>
      <x:c r="K139" s="12" t="str">
        <x:v>Three Search Methods in a Fundable Trenchcoat</x:v>
      </x:c>
      <x:c r="L139" s="12" t="str"/>
      <x:c r="M139" s="12" t="n">
        <x:v>4</x:v>
      </x:c>
      <x:c r="N139" s="12" t="n">
        <x:v>2</x:v>
      </x:c>
      <x:c r="O139" s="12" t="n">
        <x:v>3.18</x:v>
      </x:c>
      <x:c r="P139" s="12" t="n">
        <x:v>2</x:v>
      </x:c>
      <x:c r="Q139" s="12" t="n">
        <x:v>3</x:v>
      </x:c>
      <x:c r="R139" s="12" t="str">
        <x:v>Overseas at or after the stated six-to-nine-month travel window, or an undated future overseas route.</x:v>
      </x:c>
      <x:c r="S139" s="12" t="str">
        <x:v>Standard public proposal or organizer route with no hard requirement found.</x:v>
      </x:c>
      <x:c r="T139" s="12" t="str">
        <x:v>Recurring program or sponsor/history evidence is visible; no strong comparable audience count was found.</x:v>
      </x:c>
      <x:c r="U139" s="12" t="str">
        <x:v>LeadDev serves senior engineering leaders and has current programming on durable skills and AI adoption.</x:v>
      </x:c>
      <x:c r="V139" s="12" t="str">
        <x:v>unknown</x:v>
      </x:c>
      <x:c r="W139" s="12" t="str">
        <x:v>Monitor for a 2027 CFP and adapt outcomes toward architecture communication and staff development.</x:v>
      </x:c>
      <x:c r="X139" s="12" t="str">
        <x:v>No current CFP; talk needs explicit leadership decisions and team enablement | No current CFP found; formats, economics, rights, accessibility, and exact venue unknown</x:v>
      </x:c>
      <x:c r="Y139" s="12" t="str">
        <x:v>https://leaddev.com/</x:v>
      </x:c>
    </x:row>
    <x:row r="140" ht="33" customHeight="1">
      <x:c r="A140" s="12" t="n">
        <x:v>136</x:v>
      </x:c>
      <x:c r="B140" s="15" t="n">
        <x:f>ROUND(M140*Scoring!$B$3+N140*Scoring!$B$4+O140*Scoring!$B$5+(6-P140)*Scoring!$B$6+Q140*Scoring!$B$7,3)</x:f>
        <x:v>3.295</x:v>
      </x:c>
      <x:c r="C140" s="12" t="str">
        <x:v>community/meetup</x:v>
      </x:c>
      <x:c r="D140" s="12" t="str">
        <x:v>AI Builders SG recurring jam</x:v>
      </x:c>
      <x:c r="E140" s="12" t="str">
        <x:v>Overseas from March 2027</x:v>
      </x:c>
      <x:c r="F140" s="12" t="str">
        <x:v>Singapore; in person</x:v>
      </x:c>
      <x:c r="G140" s="12" t="str">
        <x:v>in-person</x:v>
      </x:c>
      <x:c r="H140" s="18"/>
      <x:c r="I140" s="12" t="str">
        <x:v>public form/contact route</x:v>
      </x:c>
      <x:c r="J140" s="18"/>
      <x:c r="K140" s="12" t="str">
        <x:v>Conjure Exactly Enough</x:v>
      </x:c>
      <x:c r="L140" s="12" t="str"/>
      <x:c r="M140" s="12" t="n">
        <x:v>4</x:v>
      </x:c>
      <x:c r="N140" s="12" t="n">
        <x:v>3</x:v>
      </x:c>
      <x:c r="O140" s="12" t="n">
        <x:v>2.38</x:v>
      </x:c>
      <x:c r="P140" s="12" t="n">
        <x:v>2</x:v>
      </x:c>
      <x:c r="Q140" s="12" t="n">
        <x:v>3</x:v>
      </x:c>
      <x:c r="R140" s="12" t="str">
        <x:v>Overseas at or after the stated six-to-nine-month travel window, or an undated future overseas route.</x:v>
      </x:c>
      <x:c r="S140" s="12" t="str">
        <x:v>Researcher-rated route and format effort; 1 is easiest and 5 is hardest.</x:v>
      </x:c>
      <x:c r="T140" s="12" t="str">
        <x:v>Recurring program or sponsor/history evidence is visible; no strong comparable audience count was found.</x:v>
      </x:c>
      <x:c r="U140" s="12" t="str">
        <x:v>AS, RT, PA, FI; project-based FT</x:v>
      </x:c>
      <x:c r="V140" s="12" t="str">
        <x:v>Luma page explicitly invites presenters to send a project link through Contact the Host</x:v>
      </x:c>
      <x:c r="W140" s="12" t="str">
        <x:v>Review the public route and decide whether to prepare the indicated talk or demo format.</x:v>
      </x:c>
      <x:c r="X140" s="12" t="str">
        <x:v>Requires a project/showcase rather than a finished keynote; future dates, talk length, selection and support unknown. first-party Luma event</x:v>
      </x:c>
      <x:c r="Y140" s="12" t="str">
        <x:v>https://luma.com/9pbbv5ja</x:v>
      </x:c>
    </x:row>
    <x:row r="141" ht="33" customHeight="1">
      <x:c r="A141" s="12" t="n">
        <x:v>137</x:v>
      </x:c>
      <x:c r="B141" s="15" t="n">
        <x:f>ROUND(M141*Scoring!$B$3+N141*Scoring!$B$4+O141*Scoring!$B$5+(6-P141)*Scoring!$B$6+Q141*Scoring!$B$7,3)</x:f>
        <x:v>3.303</x:v>
      </x:c>
      <x:c r="C141" s="12" t="str">
        <x:v>conference/event</x:v>
      </x:c>
      <x:c r="D141" s="12" t="str">
        <x:v>FinOps Connect</x:v>
      </x:c>
      <x:c r="E141" s="12" t="str">
        <x:v>FinOps Connect rolling meetup route</x:v>
      </x:c>
      <x:c r="F141" s="12" t="str">
        <x:v>London and virtual, UK</x:v>
      </x:c>
      <x:c r="G141" s="12" t="str">
        <x:v>hybrid</x:v>
      </x:c>
      <x:c r="H141" s="18"/>
      <x:c r="I141" s="12" t="str">
        <x:v>rolling</x:v>
      </x:c>
      <x:c r="J141" s="18"/>
      <x:c r="K141" s="12" t="str">
        <x:v>Buy Me a Free Tier</x:v>
      </x:c>
      <x:c r="L141" s="12" t="str"/>
      <x:c r="M141" s="12" t="n">
        <x:v>4</x:v>
      </x:c>
      <x:c r="N141" s="12" t="n">
        <x:v>2</x:v>
      </x:c>
      <x:c r="O141" s="12" t="n">
        <x:v>2.61</x:v>
      </x:c>
      <x:c r="P141" s="12" t="n">
        <x:v>1</x:v>
      </x:c>
      <x:c r="Q141" s="12" t="n">
        <x:v>3</x:v>
      </x:c>
      <x:c r="R141" s="12" t="str">
        <x:v>Overseas at or after the stated six-to-nine-month travel window, or an undated future overseas route.</x:v>
      </x:c>
      <x:c r="S141" s="12" t="str">
        <x:v>Standard public proposal or organizer route with no hard requirement found.</x:v>
      </x:c>
      <x:c r="T141" s="12" t="str">
        <x:v>Little public popularity evidence beyond the event or route itself.</x:v>
      </x:c>
      <x:c r="U141" s="12" t="str">
        <x:v>The group explicitly hosts virtual and in-person practical FinOps meetups and previously programmed AI cloud funding.</x:v>
      </x:c>
      <x:c r="V141" s="12" t="str">
        <x:v>Organizer-message route; no formal deadline</x:v>
      </x:c>
      <x:c r="W141" s="12" t="str">
        <x:v>Keep as low-friction community rehearsal route; seek a dated speaker invitation before action.</x:v>
      </x:c>
      <x:c r="X141" s="12" t="str">
        <x:v>FINALIST; small reach; unclear whether 'hosting' includes proposing a talk; no formal CFP or date | Whether hosting means proposing editorial content; next date, format, economics, and rights</x:v>
      </x:c>
      <x:c r="Y141" s="12" t="str">
        <x:v>https://www.meetup.com/finops-connect/</x:v>
      </x:c>
    </x:row>
    <x:row r="142" ht="33" customHeight="1">
      <x:c r="A142" s="12" t="n">
        <x:v>138</x:v>
      </x:c>
      <x:c r="B142" s="15" t="n">
        <x:f>ROUND(M142*Scoring!$B$3+N142*Scoring!$B$4+O142*Scoring!$B$5+(6-P142)*Scoring!$B$6+Q142*Scoring!$B$7,3)</x:f>
        <x:v>3.308</x:v>
      </x:c>
      <x:c r="C142" s="12" t="str">
        <x:v>conference/event</x:v>
      </x:c>
      <x:c r="D142" s="12" t="str">
        <x:v>MLOps Community Meetups</x:v>
      </x:c>
      <x:c r="E142" s="12" t="str">
        <x:v>MLOps Community local meetup route</x:v>
      </x:c>
      <x:c r="F142" s="12" t="str">
        <x:v>Worldwide</x:v>
      </x:c>
      <x:c r="G142" s="12" t="str">
        <x:v>hybrid</x:v>
      </x:c>
      <x:c r="H142" s="18"/>
      <x:c r="I142" s="12" t="str">
        <x:v>rolling</x:v>
      </x:c>
      <x:c r="J142" s="18"/>
      <x:c r="K142" s="12" t="str">
        <x:v>Three Search Methods in a Fundable Trenchcoat</x:v>
      </x:c>
      <x:c r="L142" s="12" t="str"/>
      <x:c r="M142" s="12" t="n">
        <x:v>4</x:v>
      </x:c>
      <x:c r="N142" s="12" t="n">
        <x:v>2</x:v>
      </x:c>
      <x:c r="O142" s="12" t="n">
        <x:v>3.23</x:v>
      </x:c>
      <x:c r="P142" s="12" t="n">
        <x:v>2</x:v>
      </x:c>
      <x:c r="Q142" s="12" t="n">
        <x:v>3</x:v>
      </x:c>
      <x:c r="R142" s="12" t="str">
        <x:v>Overseas at or after the stated six-to-nine-month travel window, or an undated future overseas route.</x:v>
      </x:c>
      <x:c r="S142" s="12" t="str">
        <x:v>Standard public proposal or organizer route with no hard requirement found.</x:v>
      </x:c>
      <x:c r="T142" s="12" t="str">
        <x:v>Recurring program or sponsor/history evidence is visible; no strong comparable audience count was found.</x:v>
      </x:c>
      <x:c r="U142" s="12" t="str">
        <x:v>MLOps Community includes engineers and technical product managers and says local groups program two to three speakers.</x:v>
      </x:c>
      <x:c r="V142" s="12" t="str">
        <x:v>Local organizer route; no universal CFP/deadline</x:v>
      </x:c>
      <x:c r="W142" s="12" t="str">
        <x:v>Select a chapter only when it publishes a dated event or speaker route; do not mass-contact organizers.</x:v>
      </x:c>
      <x:c r="X142" s="12" t="str">
        <x:v>No universal speaker form/date; chapter depth varies; location and format must be resolved | Specific chapter/date, format, economics, language, and whether bridge-level talk fits local depth</x:v>
      </x:c>
      <x:c r="Y142" s="12" t="str">
        <x:v>https://mlops.community/meetups</x:v>
      </x:c>
    </x:row>
    <x:row r="143" ht="33" customHeight="1">
      <x:c r="A143" s="12" t="n">
        <x:v>139</x:v>
      </x:c>
      <x:c r="B143" s="15" t="n">
        <x:f>ROUND(M143*Scoring!$B$3+N143*Scoring!$B$4+O143*Scoring!$B$5+(6-P143)*Scoring!$B$6+Q143*Scoring!$B$7,3)</x:f>
        <x:v>3.31</x:v>
      </x:c>
      <x:c r="C143" s="12" t="str">
        <x:v>conference/event</x:v>
      </x:c>
      <x:c r="D143" s="12" t="str">
        <x:v>Berlin FinOps and Cloud Cost Optimization</x:v>
      </x:c>
      <x:c r="E143" s="12" t="str">
        <x:v>Berlin FinOps rolling meetup route</x:v>
      </x:c>
      <x:c r="F143" s="12" t="str">
        <x:v>Berlin, Germany</x:v>
      </x:c>
      <x:c r="G143" s="12" t="str">
        <x:v>in-person</x:v>
      </x:c>
      <x:c r="H143" s="18"/>
      <x:c r="I143" s="12" t="str">
        <x:v>rolling</x:v>
      </x:c>
      <x:c r="J143" s="18"/>
      <x:c r="K143" s="12" t="str">
        <x:v>Buy Me a Free Tier</x:v>
      </x:c>
      <x:c r="L143" s="12" t="str"/>
      <x:c r="M143" s="12" t="n">
        <x:v>4</x:v>
      </x:c>
      <x:c r="N143" s="12" t="n">
        <x:v>2</x:v>
      </x:c>
      <x:c r="O143" s="12" t="n">
        <x:v>3.24</x:v>
      </x:c>
      <x:c r="P143" s="12" t="n">
        <x:v>2</x:v>
      </x:c>
      <x:c r="Q143" s="12" t="n">
        <x:v>3</x:v>
      </x:c>
      <x:c r="R143" s="12" t="str">
        <x:v>Overseas at or after the stated six-to-nine-month travel window, or an undated future overseas route.</x:v>
      </x:c>
      <x:c r="S143" s="12" t="str">
        <x:v>Standard public proposal or organizer route with no hard requirement found.</x:v>
      </x:c>
      <x:c r="T143" s="12" t="str">
        <x:v>Public organizer/platform signal of at least 340.</x:v>
      </x:c>
      <x:c r="U143" s="12" t="str">
        <x:v>Specialist audience and active regional history.</x:v>
      </x:c>
      <x:c r="V143" s="12" t="str">
        <x:v>Message organizer; no formal CFP found</x:v>
      </x:c>
      <x:c r="W143" s="12" t="str">
        <x:v>Monitor new events for a public call before using organizer message route.</x:v>
      </x:c>
      <x:c r="X143" s="12" t="str">
        <x:v>No explicit speaker invitation or dated event; language and economics unknown | No explicit speaker invitation text; next date, language, format, and economics unknown</x:v>
      </x:c>
      <x:c r="Y143" s="12" t="str">
        <x:v>https://www.meetup.com/berlin-finops/</x:v>
      </x:c>
    </x:row>
    <x:row r="144" ht="33" customHeight="1">
      <x:c r="A144" s="12" t="n">
        <x:v>140</x:v>
      </x:c>
      <x:c r="B144" s="15" t="n">
        <x:f>ROUND(M144*Scoring!$B$3+N144*Scoring!$B$4+O144*Scoring!$B$5+(6-P144)*Scoring!$B$6+Q144*Scoring!$B$7,3)</x:f>
        <x:v>3.328</x:v>
      </x:c>
      <x:c r="C144" s="12" t="str">
        <x:v>conference/event</x:v>
      </x:c>
      <x:c r="D144" s="12" t="str">
        <x:v>LILAC</x:v>
      </x:c>
      <x:c r="E144" s="12" t="str">
        <x:v>LILAC 2027</x:v>
      </x:c>
      <x:c r="F144" s="12" t="str">
        <x:v>London, United Kingdom</x:v>
      </x:c>
      <x:c r="G144" s="12" t="str">
        <x:v>in-person</x:v>
      </x:c>
      <x:c r="H144" s="18" t="n">
        <x:v>46498.5</x:v>
      </x:c>
      <x:c r="I144" s="12" t="str">
        <x:v>announced-not-open</x:v>
      </x:c>
      <x:c r="J144" s="18" t="n">
        <x:v>46337.5</x:v>
      </x:c>
      <x:c r="K144" s="12" t="str">
        <x:v>Outsmart Your Lying, Cheating Students</x:v>
      </x:c>
      <x:c r="L144" s="12" t="str"/>
      <x:c r="M144" s="12" t="n">
        <x:v>4</x:v>
      </x:c>
      <x:c r="N144" s="12" t="n">
        <x:v>2</x:v>
      </x:c>
      <x:c r="O144" s="12" t="n">
        <x:v>3.31</x:v>
      </x:c>
      <x:c r="P144" s="12" t="n">
        <x:v>2</x:v>
      </x:c>
      <x:c r="Q144" s="12" t="n">
        <x:v>3</x:v>
      </x:c>
      <x:c r="R144" s="12" t="str">
        <x:v>Overseas at or after the stated six-to-nine-month travel window, or an undated future overseas route.</x:v>
      </x:c>
      <x:c r="S144" s="12" t="str">
        <x:v>Standard public proposal or organizer route with no hard requirement found.</x:v>
      </x:c>
      <x:c r="T144" s="12" t="str">
        <x:v>Recurring program or sponsor/history evidence is visible; no strong comparable audience count was found.</x:v>
      </x:c>
      <x:c r="U144" s="12" t="str">
        <x:v>Credible adjacent audience and explicit demand for deeper AI work, but information literacy must be central rather than decorative.</x:v>
      </x:c>
      <x:c r="V144" s="12" t="str">
        <x:v>Account required; abstract; must go beyond generic AI-adoption or AI-literacy coverage</x:v>
      </x:c>
      <x:c r="W144" s="12" t="str">
        <x:v>Review presentation types when the call opens and only proceed with a genuine information-literacy adaptation.</x:v>
      </x:c>
      <x:c r="X144" s="12" t="str">
        <x:v>CFP opens September 21; narrower disciplinary fit; UK travel/economics unknown | CFP opens 2026-09-21; topic requires stronger information-literacy framing; economics, rights, accessibility incomplete.</x:v>
      </x:c>
      <x:c r="Y144" s="12" t="str">
        <x:v>https://www.lilacconference.com/lilac-2027/call-for-presentations-1</x:v>
      </x:c>
    </x:row>
    <x:row r="145" ht="33" customHeight="1">
      <x:c r="A145" s="12" t="n">
        <x:v>141</x:v>
      </x:c>
      <x:c r="B145" s="15" t="n">
        <x:f>ROUND(M145*Scoring!$B$3+N145*Scoring!$B$4+O145*Scoring!$B$5+(6-P145)*Scoring!$B$6+Q145*Scoring!$B$7,3)</x:f>
        <x:v>3.335</x:v>
      </x:c>
      <x:c r="C145" s="12" t="str">
        <x:v>conference/event</x:v>
      </x:c>
      <x:c r="D145" s="12" t="str">
        <x:v>CloudFest</x:v>
      </x:c>
      <x:c r="E145" s="12" t="str">
        <x:v>CloudFest 2027</x:v>
      </x:c>
      <x:c r="F145" s="12" t="str">
        <x:v>Rust, Germany</x:v>
      </x:c>
      <x:c r="G145" s="12" t="str">
        <x:v>in-person</x:v>
      </x:c>
      <x:c r="H145" s="18" t="n">
        <x:v>46461.5</x:v>
      </x:c>
      <x:c r="I145" s="12" t="str">
        <x:v>invitation-only-or-unknown</x:v>
      </x:c>
      <x:c r="J145" s="18"/>
      <x:c r="K145" s="12" t="str">
        <x:v>Buy Me a Free Tier</x:v>
      </x:c>
      <x:c r="L145" s="12" t="str"/>
      <x:c r="M145" s="12" t="n">
        <x:v>3</x:v>
      </x:c>
      <x:c r="N145" s="12" t="n">
        <x:v>5</x:v>
      </x:c>
      <x:c r="O145" s="12" t="n">
        <x:v>3.54</x:v>
      </x:c>
      <x:c r="P145" s="12" t="n">
        <x:v>5</x:v>
      </x:c>
      <x:c r="Q145" s="12" t="n">
        <x:v>4</x:v>
      </x:c>
      <x:c r="R145" s="12" t="str">
        <x:v>Other domestic location.</x:v>
      </x:c>
      <x:c r="S145" s="12" t="str">
        <x:v>No ordinary public speaking route is currently verified.</x:v>
      </x:c>
      <x:c r="T145" s="12" t="str">
        <x:v>Public organizer/platform signal of at least 10,900 members, registrations, attendees, or reach.</x:v>
      </x:c>
      <x:c r="U145" s="12" t="str">
        <x:v>Cloud and internet-infrastructure audience and value theme fit; reach is strong.</x:v>
      </x:c>
      <x:c r="V145" s="12" t="str">
        <x:v>unknown</x:v>
      </x:c>
      <x:c r="W145" s="12" t="str">
        <x:v>Keep as invitation-only lead; exclude partner speaking from editorial shortlist.</x:v>
      </x:c>
      <x:c r="X145" s="12" t="str">
        <x:v>No editorial CFP found; partner page offers speaking through commercial packages | No public editorial CFP verified; partner packages may include speaking and must remain separate</x:v>
      </x:c>
      <x:c r="Y145" s="12" t="str">
        <x:v>https://www.cloudfest.com/event</x:v>
      </x:c>
    </x:row>
    <x:row r="146" ht="33" customHeight="1">
      <x:c r="A146" s="12" t="n">
        <x:v>142</x:v>
      </x:c>
      <x:c r="B146" s="15" t="n">
        <x:f>ROUND(M146*Scoring!$B$3+N146*Scoring!$B$4+O146*Scoring!$B$5+(6-P146)*Scoring!$B$6+Q146*Scoring!$B$7,3)</x:f>
        <x:v>3.38</x:v>
      </x:c>
      <x:c r="C146" s="12" t="str">
        <x:v>conference/event</x:v>
      </x:c>
      <x:c r="D146" s="12" t="str">
        <x:v>IEEE International Conference on Software Architecture</x:v>
      </x:c>
      <x:c r="E146" s="12" t="str">
        <x:v>ICSA 2027 Software Architecture in Practice</x:v>
      </x:c>
      <x:c r="F146" s="12" t="str">
        <x:v>Sydney, Australia</x:v>
      </x:c>
      <x:c r="G146" s="12" t="str">
        <x:v>in-person</x:v>
      </x:c>
      <x:c r="H146" s="18" t="n">
        <x:v>46454.5</x:v>
      </x:c>
      <x:c r="I146" s="12" t="str">
        <x:v>open</x:v>
      </x:c>
      <x:c r="J146" s="18" t="n">
        <x:v>46325.5</x:v>
      </x:c>
      <x:c r="K146" s="12" t="str">
        <x:v>Conjure Exactly Enough</x:v>
      </x:c>
      <x:c r="L146" s="12" t="str"/>
      <x:c r="M146" s="12" t="n">
        <x:v>3</x:v>
      </x:c>
      <x:c r="N146" s="12" t="n">
        <x:v>5</x:v>
      </x:c>
      <x:c r="O146" s="12" t="n">
        <x:v>1.72</x:v>
      </x:c>
      <x:c r="P146" s="12" t="n">
        <x:v>1</x:v>
      </x:c>
      <x:c r="Q146" s="12" t="n">
        <x:v>3</x:v>
      </x:c>
      <x:c r="R146" s="12" t="str">
        <x:v>Other domestic location.</x:v>
      </x:c>
      <x:c r="S146" s="12" t="str">
        <x:v>Hard credential, publication, domain, or firsthand-evidence requirement.</x:v>
      </x:c>
      <x:c r="T146" s="12" t="str">
        <x:v>Little public popularity evidence beyond the event or route itself.</x:v>
      </x:c>
      <x:c r="U146" s="12" t="str">
        <x:v>ICSA SAIP explicitly invites AI integrated into architecture and practical solutions in defined contexts; 2026 program shows agentic AI and human-oversight appetite.</x:v>
      </x:c>
      <x:c r="V146" s="12" t="str">
        <x:v>Two-page maximum technical-talk proposal; IEEE format/guidelines; not previously published or simultaneously under review; accepted proposal published in companion proceedings</x:v>
      </x:c>
      <x:c r="W146" s="12" t="str">
        <x:v>Decide whether publication/simultaneous-submission restrictions are acceptable before investing in the two-page technical-talk proposal.</x:v>
      </x:c>
      <x:c r="X146" s="12" t="str">
        <x:v>Requires a two-page IEEE-formatted proposal, exclusivity while under review, publication, registration, and in-person Sydney presentation. | Conference start/end inferred from official 2027 track context and should be rechecked on home page; registration cost, travel support, honorarium, accessibility, and exact copyright agreement unknown.</x:v>
      </x:c>
      <x:c r="Y146" s="12" t="str">
        <x:v>https://conf.researchr.org/track/icsa-2027/icsa-2027-software-architecture-in-practice-track</x:v>
      </x:c>
    </x:row>
    <x:row r="147" ht="33" customHeight="1">
      <x:c r="A147" s="12" t="n">
        <x:v>143</x:v>
      </x:c>
      <x:c r="B147" s="15" t="n">
        <x:f>ROUND(M147*Scoring!$B$3+N147*Scoring!$B$4+O147*Scoring!$B$5+(6-P147)*Scoring!$B$6+Q147*Scoring!$B$7,3)</x:f>
        <x:v>3.38</x:v>
      </x:c>
      <x:c r="C147" s="12" t="str">
        <x:v>conference/event</x:v>
      </x:c>
      <x:c r="D147" s="12" t="str">
        <x:v>Taqelah Testing Conference</x:v>
      </x:c>
      <x:c r="E147" s="12" t="str">
        <x:v>Taqelah Testing Conference 2027</x:v>
      </x:c>
      <x:c r="F147" s="12" t="str">
        <x:v>Singapore, Singapore</x:v>
      </x:c>
      <x:c r="G147" s="12" t="str">
        <x:v>in-person</x:v>
      </x:c>
      <x:c r="H147" s="18" t="n">
        <x:v>46450.5</x:v>
      </x:c>
      <x:c r="I147" s="12" t="str">
        <x:v>open</x:v>
      </x:c>
      <x:c r="J147" s="18" t="n">
        <x:v>46325.5</x:v>
      </x:c>
      <x:c r="K147" s="12" t="str">
        <x:v>The Pager Cried Wolf</x:v>
      </x:c>
      <x:c r="L147" s="12" t="str">
        <x:v>parallelization</x:v>
      </x:c>
      <x:c r="M147" s="12" t="n">
        <x:v>5</x:v>
      </x:c>
      <x:c r="N147" s="12" t="n">
        <x:v>2</x:v>
      </x:c>
      <x:c r="O147" s="12" t="n">
        <x:v>1.72</x:v>
      </x:c>
      <x:c r="P147" s="12" t="n">
        <x:v>1</x:v>
      </x:c>
      <x:c r="Q147" s="12" t="n">
        <x:v>3</x:v>
      </x:c>
      <x:c r="R147" s="12" t="str">
        <x:v>Overseas before the stated six-month travel window.</x:v>
      </x:c>
      <x:c r="S147" s="12" t="str">
        <x:v>Standard public proposal or organizer route with no hard requirement found.</x:v>
      </x:c>
      <x:c r="T147" s="12" t="str">
        <x:v>Little public popularity evidence beyond the event or route itself.</x:v>
      </x:c>
      <x:c r="U147" s="12" t="str">
        <x:v>Testing audience and AI-testing precedent are strong; organizer advertises a 25-minute talk route.</x:v>
      </x:c>
      <x:c r="V147" s="12" t="str">
        <x:v>Talk proposal and speaker details.</x:v>
      </x:c>
      <x:c r="W147" s="12" t="str">
        <x:v>Verify the submission form details, then prepare the 25-minute version by October 30.</x:v>
      </x:c>
      <x:c r="X147" s="12" t="str">
        <x:v>Format/travel evidence partly comes from organizer social post; intercontinental support may not cover actual travel. | CFP form details, economics, rights, accessibility, and deadline time zone unknown | Official site did not reproduce format/economics details; verify in submission flow. Hotel, costs, rights, accessibility and multiple-submission rules unknown. | MERGE CONFLICTS/VARIANTS — edition_label: Taqelah Testing Conference 2027 | TTC 2027; date_status: exact | confirmed; eligibility: Public CFP. | First-time and seasoned speakers invited; formats_and_durations: 25-minute talks and half-day workshops reported by organizer social post | Talk; workshop; exact durations not verified; submission_requirements: Talk proposal and speaker details. | Testing story and proposal via CFP; verified_at: 2026-09-05T00:08:00-06:00 | 2026-09-04T23:00:00-06:00</x:v>
      </x:c>
      <x:c r="Y147" s="12" t="str">
        <x:v>https://ttc.taqelah.sg/</x:v>
      </x:c>
    </x:row>
    <x:row r="148" ht="33" customHeight="1">
      <x:c r="A148" s="12" t="n">
        <x:v>144</x:v>
      </x:c>
      <x:c r="B148" s="15" t="n">
        <x:f>ROUND(M148*Scoring!$B$3+N148*Scoring!$B$4+O148*Scoring!$B$5+(6-P148)*Scoring!$B$6+Q148*Scoring!$B$7,3)</x:f>
        <x:v>3.4</x:v>
      </x:c>
      <x:c r="C148" s="12" t="str">
        <x:v>conference/event</x:v>
      </x:c>
      <x:c r="D148" s="12" t="str">
        <x:v>Softwarearchitektur Wien</x:v>
      </x:c>
      <x:c r="E148" s="12" t="str">
        <x:v>Softwarearchitektur Wien meetup route</x:v>
      </x:c>
      <x:c r="F148" s="12" t="str">
        <x:v>Vienna, Austria</x:v>
      </x:c>
      <x:c r="G148" s="12" t="str">
        <x:v>in-person</x:v>
      </x:c>
      <x:c r="H148" s="18"/>
      <x:c r="I148" s="12" t="str">
        <x:v>unknown</x:v>
      </x:c>
      <x:c r="J148" s="18"/>
      <x:c r="K148" s="12" t="str">
        <x:v>Conjure Exactly Enough</x:v>
      </x:c>
      <x:c r="L148" s="12" t="str"/>
      <x:c r="M148" s="12" t="n">
        <x:v>3</x:v>
      </x:c>
      <x:c r="N148" s="12" t="n">
        <x:v>2</x:v>
      </x:c>
      <x:c r="O148" s="12" t="n">
        <x:v>3.8</x:v>
      </x:c>
      <x:c r="P148" s="12" t="n">
        <x:v>1</x:v>
      </x:c>
      <x:c r="Q148" s="12" t="n">
        <x:v>4</x:v>
      </x:c>
      <x:c r="R148" s="12" t="str">
        <x:v>Other domestic location.</x:v>
      </x:c>
      <x:c r="S148" s="12" t="str">
        <x:v>Standard public proposal or organizer route with no hard requirement found.</x:v>
      </x:c>
      <x:c r="T148" s="12" t="str">
        <x:v>Little public popularity evidence beyond the event or route itself.</x:v>
      </x:c>
      <x:c r="U148" s="12" t="str">
        <x:v>Small architecture community has hosted 45-minute-style practical talks and AI-adjacent content.</x:v>
      </x:c>
      <x:c r="V148" s="12" t="str">
        <x:v>Past event had two or three speakers and 45-minute blocks</x:v>
      </x:c>
      <x:c r="W148" s="12" t="str">
        <x:v>Keep as a community lead; take no outreach action unless the user later authorizes it and a public route is evidenced.</x:v>
      </x:c>
      <x:c r="X148" s="12" t="str">
        <x:v>No public CFP or future event date; language and travel economics unknown. | No evidenced public speaker application route, future date, or economics; community outreach is not authorized.</x:v>
      </x:c>
      <x:c r="Y148" s="12" t="str">
        <x:v>https://www.meetup.com/de-de/softwarearchitektur-wien/</x:v>
      </x:c>
    </x:row>
    <x:row r="149" ht="33" customHeight="1">
      <x:c r="A149" s="12" t="n">
        <x:v>145</x:v>
      </x:c>
      <x:c r="B149" s="15" t="n">
        <x:f>ROUND(M149*Scoring!$B$3+N149*Scoring!$B$4+O149*Scoring!$B$5+(6-P149)*Scoring!$B$6+Q149*Scoring!$B$7,3)</x:f>
        <x:v>3.41</x:v>
      </x:c>
      <x:c r="C149" s="12" t="str">
        <x:v>conference/event</x:v>
      </x:c>
      <x:c r="D149" s="12" t="str">
        <x:v>KMWorld Europe</x:v>
      </x:c>
      <x:c r="E149" s="12" t="str">
        <x:v>KMWorld Europe 2027</x:v>
      </x:c>
      <x:c r="F149" s="12" t="str">
        <x:v>London, United Kingdom</x:v>
      </x:c>
      <x:c r="G149" s="12" t="str">
        <x:v>in-person</x:v>
      </x:c>
      <x:c r="H149" s="18" t="n">
        <x:v>46491.5</x:v>
      </x:c>
      <x:c r="I149" s="12" t="str">
        <x:v>conflicting</x:v>
      </x:c>
      <x:c r="J149" s="18" t="n">
        <x:v>46304.5</x:v>
      </x:c>
      <x:c r="K149" s="12" t="str">
        <x:v>Turn Your Thinkin' Tokens Up to 11</x:v>
      </x:c>
      <x:c r="L149" s="12" t="str">
        <x:v>product-engineering</x:v>
      </x:c>
      <x:c r="M149" s="12" t="n">
        <x:v>4</x:v>
      </x:c>
      <x:c r="N149" s="12" t="n">
        <x:v>3</x:v>
      </x:c>
      <x:c r="O149" s="12" t="n">
        <x:v>2.64</x:v>
      </x:c>
      <x:c r="P149" s="12" t="n">
        <x:v>1</x:v>
      </x:c>
      <x:c r="Q149" s="12" t="n">
        <x:v>2</x:v>
      </x:c>
      <x:c r="R149" s="12" t="str">
        <x:v>Overseas at or after the stated six-to-nine-month travel window, or an undated future overseas route.</x:v>
      </x:c>
      <x:c r="S149" s="12" t="str">
        <x:v>Standard CFP plus registration, assets, review, or meaningful format adaptation.</x:v>
      </x:c>
      <x:c r="T149" s="12" t="str">
        <x:v>Little public popularity evidence beyond the event or route itself.</x:v>
      </x:c>
      <x:c r="U149" s="12" t="str">
        <x:v>Knowledge-management audience is adjacent; useful for the organizational-memory section but weaker for software delivery.</x:v>
      </x:c>
      <x:c r="V149" s="12" t="str">
        <x:v>Title, abstract, relevant bio and presenter contact details.</x:v>
      </x:c>
      <x:c r="W149" s="12" t="str">
        <x:v>Recheck until the page unambiguously identifies the 2027 call; do not rely on October 9.</x:v>
      </x:c>
      <x:c r="X149" s="12" t="str">
        <x:v>Official page conflicts on open status, edition year and deadline; real-experience preference. | CFP year/status conflict prevents actionable deadline claim; economics beyond pass, rights, accessibility and attendance unknown.</x:v>
      </x:c>
      <x:c r="Y149" s="12" t="str">
        <x:v>https://www.kmworld.com/Europe/2027/CallForSpeakers.aspx</x:v>
      </x:c>
    </x:row>
    <x:row r="150" ht="33" customHeight="1">
      <x:c r="A150" s="12" t="n">
        <x:v>146</x:v>
      </x:c>
      <x:c r="B150" s="15" t="n">
        <x:f>ROUND(M150*Scoring!$B$3+N150*Scoring!$B$4+O150*Scoring!$B$5+(6-P150)*Scoring!$B$6+Q150*Scoring!$B$7,3)</x:f>
        <x:v>3.41</x:v>
      </x:c>
      <x:c r="C150" s="12" t="str">
        <x:v>conference/event</x:v>
      </x:c>
      <x:c r="D150" s="12" t="str">
        <x:v>DevOpsDays Tel Aviv</x:v>
      </x:c>
      <x:c r="E150" s="12" t="str">
        <x:v>DevOpsDays Tel Aviv 2026</x:v>
      </x:c>
      <x:c r="F150" s="12" t="str">
        <x:v>Tel Aviv, Israel</x:v>
      </x:c>
      <x:c r="G150" s="12" t="str">
        <x:v>in-person</x:v>
      </x:c>
      <x:c r="H150" s="18" t="n">
        <x:v>46378.5</x:v>
      </x:c>
      <x:c r="I150" s="12" t="str">
        <x:v>conflicting-official-pages</x:v>
      </x:c>
      <x:c r="J150" s="18" t="n">
        <x:v>46290.5</x:v>
      </x:c>
      <x:c r="K150" s="12" t="str">
        <x:v>Buy Me a Free Tier</x:v>
      </x:c>
      <x:c r="L150" s="12" t="str"/>
      <x:c r="M150" s="12" t="n">
        <x:v>5</x:v>
      </x:c>
      <x:c r="N150" s="12" t="n">
        <x:v>2</x:v>
      </x:c>
      <x:c r="O150" s="12" t="n">
        <x:v>4.04</x:v>
      </x:c>
      <x:c r="P150" s="12" t="n">
        <x:v>4</x:v>
      </x:c>
      <x:c r="Q150" s="12" t="n">
        <x:v>2</x:v>
      </x:c>
      <x:c r="R150" s="12" t="str">
        <x:v>Overseas before the stated six-month travel window.</x:v>
      </x:c>
      <x:c r="S150" s="12" t="str">
        <x:v>Standard public proposal or organizer route with no hard requirement found.</x:v>
      </x:c>
      <x:c r="T150" s="12" t="str">
        <x:v>Established recurring conference or community series with visible program history.</x:v>
      </x:c>
      <x:c r="U150" s="12" t="str">
        <x:v>Local page supports exact 30-minute format and no-vendor-pitch positioning.</x:v>
      </x:c>
      <x:c r="V150" s="12" t="str">
        <x:v>Email type, title, and description</x:v>
      </x:c>
      <x:c r="W150" s="12" t="str">
        <x:v>Do not rely on September 25 until the local page and global index agree.</x:v>
      </x:c>
      <x:c r="X150" s="12" t="str">
        <x:v>Official open-status conflict; language, travel/safety, and economics unknown | Local page says CFP TBD while global index says open with 2026-09-25 deadline; language, safety/travel, economics, rights unknown</x:v>
      </x:c>
      <x:c r="Y150" s="12" t="str">
        <x:v>https://devopsdays.org/events/2026-tel-aviv/propose/</x:v>
      </x:c>
    </x:row>
    <x:row r="151" ht="33" customHeight="1">
      <x:c r="A151" s="12" t="n">
        <x:v>147</x:v>
      </x:c>
      <x:c r="B151" s="15" t="n">
        <x:f>ROUND(M151*Scoring!$B$3+N151*Scoring!$B$4+O151*Scoring!$B$5+(6-P151)*Scoring!$B$6+Q151*Scoring!$B$7,3)</x:f>
        <x:v>3.415</x:v>
      </x:c>
      <x:c r="C151" s="12" t="str">
        <x:v>conference/event</x:v>
      </x:c>
      <x:c r="D151" s="12" t="str">
        <x:v>Voxxed Days Luxembourg</x:v>
      </x:c>
      <x:c r="E151" s="12" t="str">
        <x:v>Voxxed Days Luxembourg 2027</x:v>
      </x:c>
      <x:c r="F151" s="12" t="str">
        <x:v>Luxembourg, Luxembourg</x:v>
      </x:c>
      <x:c r="G151" s="12" t="str">
        <x:v>in-person</x:v>
      </x:c>
      <x:c r="H151" s="18" t="n">
        <x:v>46559.5</x:v>
      </x:c>
      <x:c r="I151" s="12" t="str">
        <x:v>announced-not-open</x:v>
      </x:c>
      <x:c r="J151" s="18"/>
      <x:c r="K151" s="12" t="str">
        <x:v>Three Search Methods in a Fundable Trenchcoat</x:v>
      </x:c>
      <x:c r="L151" s="12" t="str"/>
      <x:c r="M151" s="12" t="n">
        <x:v>4</x:v>
      </x:c>
      <x:c r="N151" s="12" t="n">
        <x:v>2</x:v>
      </x:c>
      <x:c r="O151" s="12" t="n">
        <x:v>3.66</x:v>
      </x:c>
      <x:c r="P151" s="12" t="n">
        <x:v>2</x:v>
      </x:c>
      <x:c r="Q151" s="12" t="n">
        <x:v>3</x:v>
      </x:c>
      <x:c r="R151" s="12" t="str">
        <x:v>Overseas at or after the stated six-to-nine-month travel window, or an undated future overseas route.</x:v>
      </x:c>
      <x:c r="S151" s="12" t="str">
        <x:v>Standard public proposal or organizer route with no hard requirement found.</x:v>
      </x:c>
      <x:c r="T151" s="12" t="str">
        <x:v>Recurring program or sponsor/history evidence is visible; no strong comparable audience count was found.</x:v>
      </x:c>
      <x:c r="U151" s="12" t="str">
        <x:v>Tracks cover architecture, cloud, AI, big data/ML, DevOps, and testing; broad experienced-developer audience fits.</x:v>
      </x:c>
      <x:c r="V151" s="12" t="str">
        <x:v>CFP announced for early November through December 2026</x:v>
      </x:c>
      <x:c r="W151" s="12" t="str">
        <x:v>Prepare the 40-minute version and recheck when the official page opens the CFP in November.</x:v>
      </x:c>
      <x:c r="X151" s="12" t="str">
        <x:v>CFP only announced by month; exact dates, formats, and economics unknown | Exact open/close dates, format, economics, rights, accessibility, travel</x:v>
      </x:c>
      <x:c r="Y151" s="12" t="str">
        <x:v>https://luxembourg.voxxeddays.com/en/</x:v>
      </x:c>
    </x:row>
    <x:row r="152" ht="33" customHeight="1">
      <x:c r="A152" s="12" t="n">
        <x:v>148</x:v>
      </x:c>
      <x:c r="B152" s="15" t="n">
        <x:f>ROUND(M152*Scoring!$B$3+N152*Scoring!$B$4+O152*Scoring!$B$5+(6-P152)*Scoring!$B$6+Q152*Scoring!$B$7,3)</x:f>
        <x:v>3.43</x:v>
      </x:c>
      <x:c r="C152" s="12" t="str">
        <x:v>conference/event</x:v>
      </x:c>
      <x:c r="D152" s="12" t="str">
        <x:v>Great International Developer Summit</x:v>
      </x:c>
      <x:c r="E152" s="12" t="str">
        <x:v>GIDS 2027</x:v>
      </x:c>
      <x:c r="F152" s="12" t="str">
        <x:v>Bengaluru, India</x:v>
      </x:c>
      <x:c r="G152" s="12" t="str">
        <x:v>in-person</x:v>
      </x:c>
      <x:c r="H152" s="18" t="n">
        <x:v>46504.5</x:v>
      </x:c>
      <x:c r="I152" s="12" t="str">
        <x:v>open</x:v>
      </x:c>
      <x:c r="J152" s="18" t="n">
        <x:v>46295.5</x:v>
      </x:c>
      <x:c r="K152" s="12" t="str">
        <x:v>Turn Your Thinkin' Tokens Up to 11</x:v>
      </x:c>
      <x:c r="L152" s="12" t="str">
        <x:v>parallelization</x:v>
      </x:c>
      <x:c r="M152" s="12" t="n">
        <x:v>4</x:v>
      </x:c>
      <x:c r="N152" s="12" t="n">
        <x:v>5</x:v>
      </x:c>
      <x:c r="O152" s="12" t="n">
        <x:v>1.12</x:v>
      </x:c>
      <x:c r="P152" s="12" t="n">
        <x:v>1</x:v>
      </x:c>
      <x:c r="Q152" s="12" t="n">
        <x:v>2</x:v>
      </x:c>
      <x:c r="R152" s="12" t="str">
        <x:v>Overseas at or after the stated six-to-nine-month travel window, or an undated future overseas route.</x:v>
      </x:c>
      <x:c r="S152" s="12" t="str">
        <x:v>Hard credential, publication, domain, or firsthand-evidence requirement.</x:v>
      </x:c>
      <x:c r="T152" s="12" t="str">
        <x:v>Little public popularity evidence beyond the event or route itself.</x:v>
      </x:c>
      <x:c r="U152" s="12" t="str">
        <x:v>Strong engineering, architecture and leadership audience with an exact 30-minute slot and explicit systems-thinking themes.</x:v>
      </x:c>
      <x:c r="V152" s="12" t="str">
        <x:v>Technical abstract, system/problem, decisions, constraints, takeaways, speaker experience and optional prior recording.</x:v>
      </x:c>
      <x:c r="W152" s="12" t="str">
        <x:v>Proceed only after identifying truthful firsthand evidence; if available, submit by September 30.</x:v>
      </x:c>
      <x:c r="X152" s="12" t="str">
        <x:v>Must be grounded in work Dan directly did or materially contributed to; a qualifying firsthand organizational case is unknown. | Honorarium, visa support, accessibility, recording rights, and whether a 40-minute source deck can be accepted as 30 minutes without loss are unknown. | Recording rights, accessibility, exact reimbursement eligibility, and deadline time zone unknown | Dan's qualifying firsthand case details, travel origin, full reimbursement rules, recording rights, accessibility and attendance unknown. | Synthetic/proposed architecture may fail real-experience bar; travel origin, rights, accessibility and attendance unknown. | Dan's direct-work evidence and employer support; honorarium, rights, accessibility, and final support approval | MERGE CONFLICTS/VARIANTS — date_status: exact | confirmed; eligibility: Content must be grounded in real engineering work the speaker directly did or materially contributed to; up to five proposals. | Public CFP; international speakers encouraged to submit multiple 60-minute sessions | Real engineering experience; no promotion | Original content based on work the speaker directly did or materially contributed to; up to five proposals. | Original content based on work directly done or materially contributed to; form asks technical depth and speaking experience; formats_and_durations: 30-minute short talk; 60-minute long talk | 60-minute long talk; 30-minute short talk | 30- or 60-minute talk; international speakers encouraged toward 60 minutes and multiple talks | 30-minute short talk; 60-minute long talk.; submission_requirements: Technical abstract, system/problem, decisions, constraints, takeaways, speaker experience and optional prior recording. | Up to five proposals; technical abstract; system problem; decisions/tradeoffs; takeaways; practitioner-depth declaration; bio/photo; no product promotion | Proposal with decisions, tradeoffs, constraints, and experience | Practical, vendor-neutral proposal with real engineering experience and speaker details. | Up to five proposals; system problem, decisions, tradeoffs, outcomes, biography, photo, affiliation, and support needs; compensation: Conference access; international travel reimbursement may be available up to USD 1500 and two hotel nights at organizer discretion. | Full conference access; support is discretionary | Conference access; discretionary international reimbursement. | unknown; travel_support: Up to USD 1500 for selected international speakers; reimbursement after event; discretionary. | Selected international speakers may receive up to USD 1,500 travel and two hotel nights; reimbursement after event | Up to USD 1,500 travel reimbursement plus two hotel nights; discretionary and paid after event | Up to USD 1500 and two hotel nights may be offered to selected international speakers. | Selected international speakers may receive up to US$1,500 travel and two hotel nights; discretionary and reimbursement-based; speaker_costs: Full conference access for selected speakers; co-speaker must buy pass unless approved | Full conference pass; recording_rights: Recording rights not stated | unknown; attendance_value: 150+ sessions on official site | 150; verified_at: 2026-09-04T21:20:00-06:00 | 2026-09-04T23:30:00-06:00 | 2026-09-04T23:00:00-06:00 | 2026-09-04T23:35:00-06:00 | 2026-09-04T12:00:00-06:00</x:v>
      </x:c>
      <x:c r="Y152" s="12" t="str">
        <x:v>https://form.jotform.com/saltmarch/gids2027cfp</x:v>
      </x:c>
    </x:row>
    <x:row r="153" ht="33" customHeight="1">
      <x:c r="A153" s="12" t="n">
        <x:v>149</x:v>
      </x:c>
      <x:c r="B153" s="15" t="n">
        <x:f>ROUND(M153*Scoring!$B$3+N153*Scoring!$B$4+O153*Scoring!$B$5+(6-P153)*Scoring!$B$6+Q153*Scoring!$B$7,3)</x:f>
        <x:v>3.448</x:v>
      </x:c>
      <x:c r="C153" s="12" t="str">
        <x:v>conference/event</x:v>
      </x:c>
      <x:c r="D153" s="12" t="str">
        <x:v>Open Source Summit North America</x:v>
      </x:c>
      <x:c r="E153" s="12" t="str">
        <x:v>Open Source Summit North America 2027</x:v>
      </x:c>
      <x:c r="F153" s="12" t="str">
        <x:v>Vancouver, Canada</x:v>
      </x:c>
      <x:c r="G153" s="12" t="str">
        <x:v>in-person</x:v>
      </x:c>
      <x:c r="H153" s="18" t="n">
        <x:v>46524.5</x:v>
      </x:c>
      <x:c r="I153" s="12" t="str">
        <x:v>announced-not-open</x:v>
      </x:c>
      <x:c r="J153" s="18"/>
      <x:c r="K153" s="12" t="str">
        <x:v>Conjure Exactly Enough</x:v>
      </x:c>
      <x:c r="L153" s="12" t="str"/>
      <x:c r="M153" s="12" t="n">
        <x:v>4</x:v>
      </x:c>
      <x:c r="N153" s="12" t="n">
        <x:v>2</x:v>
      </x:c>
      <x:c r="O153" s="12" t="n">
        <x:v>3.79</x:v>
      </x:c>
      <x:c r="P153" s="12" t="n">
        <x:v>2</x:v>
      </x:c>
      <x:c r="Q153" s="12" t="n">
        <x:v>3</x:v>
      </x:c>
      <x:c r="R153" s="12" t="str">
        <x:v>Canada or Mexico: feasible but outside the preferred domestic list.</x:v>
      </x:c>
      <x:c r="S153" s="12" t="str">
        <x:v>Standard public proposal or organizer route with no hard requirement found.</x:v>
      </x:c>
      <x:c r="T153" s="12" t="str">
        <x:v>Recurring program or sponsor/history evidence is visible; no strong comparable audience count was found.</x:v>
      </x:c>
      <x:c r="U153" s="12" t="str">
        <x:v>Broad open-source audience; fit depends on demonstrable open-source components.</x:v>
      </x:c>
      <x:c r="V153" s="12" t="str"/>
      <x:c r="W153" s="12" t="str">
        <x:v>Wait for track descriptions and submit only if an authentic open-source implementation angle exists.</x:v>
      </x:c>
      <x:c r="X153" s="12" t="str">
        <x:v>CFP details coming soon; base talk has no explicit open-source project dependency. | Official calendar says CFP details coming soon; exact AI/agent tracks and all submission economics unknown. | CFP dates, tracks, formats, terms, economics, rights, and accessibility not published | MERGE CONFLICTS/VARIANTS — edition_url: https://events.linuxfoundation.org/open-source-summit-north-america/ | https://events.linuxfoundation.org/about/calendar/; date_status: confirmed | exact; cfp_url: https://events.linuxfoundation.org/open-source-summit-north-america/ | https://events.linuxfoundation.org/about/calendar/; guidelines_url: https://events.linuxfoundation.org/open-source-summit-north-america/ | https://events.linuxfoundation.org/about/calendar/; verified_at: 2026-09-04T23:00:00-06:00 | 2026-09-04T23:30:00-06:00</x:v>
      </x:c>
      <x:c r="Y153" s="12" t="str">
        <x:v>https://events.linuxfoundation.org/open-source-summit-north-america/</x:v>
      </x:c>
    </x:row>
    <x:row r="154" ht="33" customHeight="1">
      <x:c r="A154" s="12" t="n">
        <x:v>150</x:v>
      </x:c>
      <x:c r="B154" s="15" t="n">
        <x:f>ROUND(M154*Scoring!$B$3+N154*Scoring!$B$4+O154*Scoring!$B$5+(6-P154)*Scoring!$B$6+Q154*Scoring!$B$7,3)</x:f>
        <x:v>3.452</x:v>
      </x:c>
      <x:c r="C154" s="12" t="str">
        <x:v>conference/event</x:v>
      </x:c>
      <x:c r="D154" s="12" t="str">
        <x:v>DevOpsDays Almaty</x:v>
      </x:c>
      <x:c r="E154" s="12" t="str">
        <x:v>DevOpsDays Almaty 2026</x:v>
      </x:c>
      <x:c r="F154" s="12" t="str">
        <x:v>Almaty, Kazakhstan</x:v>
      </x:c>
      <x:c r="G154" s="12" t="str">
        <x:v>in-person</x:v>
      </x:c>
      <x:c r="H154" s="18" t="n">
        <x:v>46311.5</x:v>
      </x:c>
      <x:c r="I154" s="12" t="str">
        <x:v>open</x:v>
      </x:c>
      <x:c r="J154" s="18" t="n">
        <x:v>46296.5</x:v>
      </x:c>
      <x:c r="K154" s="12" t="str">
        <x:v>Buy Me a Free Tier</x:v>
      </x:c>
      <x:c r="L154" s="12" t="str"/>
      <x:c r="M154" s="12" t="n">
        <x:v>5</x:v>
      </x:c>
      <x:c r="N154" s="12" t="n">
        <x:v>2</x:v>
      </x:c>
      <x:c r="O154" s="12" t="n">
        <x:v>4.21</x:v>
      </x:c>
      <x:c r="P154" s="12" t="n">
        <x:v>4</x:v>
      </x:c>
      <x:c r="Q154" s="12" t="n">
        <x:v>2</x:v>
      </x:c>
      <x:c r="R154" s="12" t="str">
        <x:v>Overseas before the stated six-month travel window.</x:v>
      </x:c>
      <x:c r="S154" s="12" t="str">
        <x:v>Standard public proposal or organizer route with no hard requirement found.</x:v>
      </x:c>
      <x:c r="T154" s="12" t="str">
        <x:v>Established recurring conference or community series with visible program history.</x:v>
      </x:c>
      <x:c r="U154" s="12" t="str">
        <x:v>Open regional community route with a matching event format family.</x:v>
      </x:c>
      <x:c r="V154" s="12" t="str">
        <x:v>unknown</x:v>
      </x:c>
      <x:c r="W154" s="12" t="str">
        <x:v>Recheck the local propose page before deciding whether the October 1 deadline is usable.</x:v>
      </x:c>
      <x:c r="X154" s="12" t="str">
        <x:v>Deadline is official but local rules/form were not extractable; travel, language, economics, and audience detail unknown | Local propose page could not be extracted; deadline comes from official global index; all requirements and economics unknown</x:v>
      </x:c>
      <x:c r="Y154" s="12" t="str">
        <x:v>https://devopsdays.org/events/2026-almaty/propose/</x:v>
      </x:c>
    </x:row>
    <x:row r="155" ht="33" customHeight="1">
      <x:c r="A155" s="12" t="n">
        <x:v>151</x:v>
      </x:c>
      <x:c r="B155" s="15" t="n">
        <x:f>ROUND(M155*Scoring!$B$3+N155*Scoring!$B$4+O155*Scoring!$B$5+(6-P155)*Scoring!$B$6+Q155*Scoring!$B$7,3)</x:f>
        <x:v>3.478</x:v>
      </x:c>
      <x:c r="C155" s="12" t="str">
        <x:v>conference/event</x:v>
      </x:c>
      <x:c r="D155" s="12" t="str">
        <x:v>AGNTCon + MCPCon Europe</x:v>
      </x:c>
      <x:c r="E155" s="12" t="str">
        <x:v>AGNTCon + MCPCon Europe 2027</x:v>
      </x:c>
      <x:c r="F155" s="12" t="str">
        <x:v>London, United Kingdom</x:v>
      </x:c>
      <x:c r="G155" s="12" t="str">
        <x:v>in-person</x:v>
      </x:c>
      <x:c r="H155" s="18" t="n">
        <x:v>46645.5</x:v>
      </x:c>
      <x:c r="I155" s="12" t="str">
        <x:v>announced-not-open</x:v>
      </x:c>
      <x:c r="J155" s="18"/>
      <x:c r="K155" s="12" t="str">
        <x:v>Conjure Exactly Enough</x:v>
      </x:c>
      <x:c r="L155" s="12" t="str"/>
      <x:c r="M155" s="12" t="n">
        <x:v>4</x:v>
      </x:c>
      <x:c r="N155" s="12" t="n">
        <x:v>2</x:v>
      </x:c>
      <x:c r="O155" s="12" t="n">
        <x:v>3.31</x:v>
      </x:c>
      <x:c r="P155" s="12" t="n">
        <x:v>1</x:v>
      </x:c>
      <x:c r="Q155" s="12" t="n">
        <x:v>3</x:v>
      </x:c>
      <x:c r="R155" s="12" t="str">
        <x:v>Overseas at or after the stated six-to-nine-month travel window, or an undated future overseas route.</x:v>
      </x:c>
      <x:c r="S155" s="12" t="str">
        <x:v>Standard public proposal or organizer route with no hard requirement found.</x:v>
      </x:c>
      <x:c r="T155" s="12" t="str">
        <x:v>Little public popularity evidence beyond the event or route itself.</x:v>
      </x:c>
      <x:c r="U155" s="12" t="str">
        <x:v>Direct agent/MCP venue announced by Linux Foundation; details forthcoming.</x:v>
      </x:c>
      <x:c r="V155" s="12" t="str"/>
      <x:c r="W155" s="12" t="str">
        <x:v>Check official event page when created and evaluate against any earlier Linux Foundation appearance.</x:v>
      </x:c>
      <x:c r="X155" s="12" t="str">
        <x:v>No CFP, format, rules, or economics published; reuse may conflict with Linux Foundation repeat rule. | Official calendar says CFP details coming soon; route, formats, and economics unknown.</x:v>
      </x:c>
      <x:c r="Y155" s="12" t="str">
        <x:v>https://events.linuxfoundation.org/about/calendar/</x:v>
      </x:c>
    </x:row>
    <x:row r="156" ht="33" customHeight="1">
      <x:c r="A156" s="12" t="n">
        <x:v>152</x:v>
      </x:c>
      <x:c r="B156" s="15" t="n">
        <x:f>ROUND(M156*Scoring!$B$3+N156*Scoring!$B$4+O156*Scoring!$B$5+(6-P156)*Scoring!$B$6+Q156*Scoring!$B$7,3)</x:f>
        <x:v>3.48</x:v>
      </x:c>
      <x:c r="C156" s="12" t="str">
        <x:v>conference/event</x:v>
      </x:c>
      <x:c r="D156" s="12" t="str">
        <x:v>PyData Venice</x:v>
      </x:c>
      <x:c r="E156" s="12" t="str">
        <x:v>PyData Venice 2026 series</x:v>
      </x:c>
      <x:c r="F156" s="12" t="str">
        <x:v>Mestre, Italy</x:v>
      </x:c>
      <x:c r="G156" s="12" t="str">
        <x:v>hybrid</x:v>
      </x:c>
      <x:c r="H156" s="18" t="n">
        <x:v>46261.5</x:v>
      </x:c>
      <x:c r="I156" s="12" t="str">
        <x:v>rolling</x:v>
      </x:c>
      <x:c r="J156" s="18"/>
      <x:c r="K156" s="12" t="str">
        <x:v>The Pager Cried Wolf</x:v>
      </x:c>
      <x:c r="L156" s="12" t="str">
        <x:v>parallelization</x:v>
      </x:c>
      <x:c r="M156" s="12" t="n">
        <x:v>5</x:v>
      </x:c>
      <x:c r="N156" s="12" t="n">
        <x:v>2</x:v>
      </x:c>
      <x:c r="O156" s="12" t="n">
        <x:v>2.12</x:v>
      </x:c>
      <x:c r="P156" s="12" t="n">
        <x:v>1</x:v>
      </x:c>
      <x:c r="Q156" s="12" t="n">
        <x:v>3</x:v>
      </x:c>
      <x:c r="R156" s="12" t="str">
        <x:v>Overseas before the stated six-month travel window.</x:v>
      </x:c>
      <x:c r="S156" s="12" t="str">
        <x:v>Standard public proposal or organizer route with no hard requirement found.</x:v>
      </x:c>
      <x:c r="T156" s="12" t="str">
        <x:v>Little public popularity evidence beyond the event or route itself.</x:v>
      </x:c>
      <x:c r="U156" s="12" t="str">
        <x:v>Relevant MLOps/LLMOps audience and hybrid delivery; broad rather than exact testing/platform fit.</x:v>
      </x:c>
      <x:c r="V156" s="12" t="str">
        <x:v>Technical talk in data science, ML engineering, MLOps/LLMOps or adjacent tooling.</x:v>
      </x:c>
      <x:c r="W156" s="12" t="str">
        <x:v>Check which remaining 2026 meetup date still accepts sessions and whether remote delivery is allowed.</x:v>
      </x:c>
      <x:c r="X156" s="12" t="str">
        <x:v>Exact next available date, duration and economics unknown. | Format, economics, rights, accessibility, attendance and exact next available slot unknown.</x:v>
      </x:c>
      <x:c r="Y156" s="12" t="str">
        <x:v>https://sessionize.com/pydata-venice</x:v>
      </x:c>
    </x:row>
    <x:row r="157" ht="33" customHeight="1">
      <x:c r="A157" s="12" t="n">
        <x:v>153</x:v>
      </x:c>
      <x:c r="B157" s="15" t="n">
        <x:f>ROUND(M157*Scoring!$B$3+N157*Scoring!$B$4+O157*Scoring!$B$5+(6-P157)*Scoring!$B$6+Q157*Scoring!$B$7,3)</x:f>
        <x:v>3.495</x:v>
      </x:c>
      <x:c r="C157" s="12" t="str">
        <x:v>conference/event</x:v>
      </x:c>
      <x:c r="D157" s="12" t="str">
        <x:v>Experts Live UK</x:v>
      </x:c>
      <x:c r="E157" s="12" t="str">
        <x:v>Experts Live UK 2027</x:v>
      </x:c>
      <x:c r="F157" s="12" t="str">
        <x:v>London, United Kingdom</x:v>
      </x:c>
      <x:c r="G157" s="12" t="str">
        <x:v>in-person</x:v>
      </x:c>
      <x:c r="H157" s="18" t="n">
        <x:v>46525.5</x:v>
      </x:c>
      <x:c r="I157" s="12" t="str">
        <x:v>announced-not-open</x:v>
      </x:c>
      <x:c r="J157" s="18"/>
      <x:c r="K157" s="12" t="str">
        <x:v>Conjure Exactly Enough</x:v>
      </x:c>
      <x:c r="L157" s="12" t="str"/>
      <x:c r="M157" s="12" t="n">
        <x:v>4</x:v>
      </x:c>
      <x:c r="N157" s="12" t="n">
        <x:v>2</x:v>
      </x:c>
      <x:c r="O157" s="12" t="n">
        <x:v>3.38</x:v>
      </x:c>
      <x:c r="P157" s="12" t="n">
        <x:v>1</x:v>
      </x:c>
      <x:c r="Q157" s="12" t="n">
        <x:v>3</x:v>
      </x:c>
      <x:c r="R157" s="12" t="str">
        <x:v>Overseas at or after the stated six-to-nine-month travel window, or an undated future overseas route.</x:v>
      </x:c>
      <x:c r="S157" s="12" t="str">
        <x:v>Standard public proposal or organizer route with no hard requirement found.</x:v>
      </x:c>
      <x:c r="T157" s="12" t="str">
        <x:v>Little public popularity evidence beyond the event or route itself.</x:v>
      </x:c>
      <x:c r="U157" s="12" t="str">
        <x:v>Some topical overlap, but audience is specifically Microsoft 365/Copilot operations.</x:v>
      </x:c>
      <x:c r="V157" s="12" t="str">
        <x:v>Actionable practitioner story; no product pitch</x:v>
      </x:c>
      <x:c r="W157" s="12" t="str">
        <x:v>Exclude unless Dan confirms relevant Microsoft-estate experience; otherwise monitor only.</x:v>
      </x:c>
      <x:c r="X157" s="12" t="str">
        <x:v>CFP not open and dates provisional; requires real Microsoft production story not supplied. | CFP dates are provisional until Sessionize opens; fit is weak without a Microsoft 365/Copilot case study; travel cap and honorarium unknown.</x:v>
      </x:c>
      <x:c r="Y157" s="12" t="str">
        <x:v>https://expertslive.co.uk/become-a-speaker/</x:v>
      </x:c>
    </x:row>
    <x:row r="158" ht="33" customHeight="1">
      <x:c r="A158" s="12" t="n">
        <x:v>154</x:v>
      </x:c>
      <x:c r="B158" s="15" t="n">
        <x:f>ROUND(M158*Scoring!$B$3+N158*Scoring!$B$4+O158*Scoring!$B$5+(6-P158)*Scoring!$B$6+Q158*Scoring!$B$7,3)</x:f>
        <x:v>3.495</x:v>
      </x:c>
      <x:c r="C158" s="12" t="str">
        <x:v>community/meetup</x:v>
      </x:c>
      <x:c r="D158" s="12" t="str">
        <x:v>Lorong AI calendar</x:v>
      </x:c>
      <x:c r="E158" s="12" t="str">
        <x:v>Overseas from March 2027</x:v>
      </x:c>
      <x:c r="F158" s="12" t="str">
        <x:v>Singapore; in person at One-North and Cross Street</x:v>
      </x:c>
      <x:c r="G158" s="12" t="str">
        <x:v>in-person</x:v>
      </x:c>
      <x:c r="H158" s="18"/>
      <x:c r="I158" s="12" t="str">
        <x:v>public form/contact route</x:v>
      </x:c>
      <x:c r="J158" s="18"/>
      <x:c r="K158" s="12" t="str">
        <x:v>The Pager Cried Wolf</x:v>
      </x:c>
      <x:c r="L158" s="12" t="str"/>
      <x:c r="M158" s="12" t="n">
        <x:v>4</x:v>
      </x:c>
      <x:c r="N158" s="12" t="n">
        <x:v>4</x:v>
      </x:c>
      <x:c r="O158" s="12" t="n">
        <x:v>2.38</x:v>
      </x:c>
      <x:c r="P158" s="12" t="n">
        <x:v>2</x:v>
      </x:c>
      <x:c r="Q158" s="12" t="n">
        <x:v>3</x:v>
      </x:c>
      <x:c r="R158" s="12" t="str">
        <x:v>Overseas at or after the stated six-to-nine-month travel window, or an undated future overseas route.</x:v>
      </x:c>
      <x:c r="S158" s="12" t="str">
        <x:v>Researcher-rated route and format effort; 1 is easiest and 5 is hardest.</x:v>
      </x:c>
      <x:c r="T158" s="12" t="str">
        <x:v>Recurring program or sponsor/history evidence is visible; no strong comparable audience count was found.</x:v>
      </x:c>
      <x:c r="U158" s="12" t="str">
        <x:v>FI, AS, RT, BM, PA, JU</x:v>
      </x:c>
      <x:c r="V158" s="12" t="str">
        <x:v>Luma calendar has a public Submit Event route; individual talk acceptance is organizer-curated</x:v>
      </x:c>
      <x:c r="W158" s="12" t="str">
        <x:v>Review the public route and decide whether to prepare the indicated talk or demo format.</x:v>
      </x:c>
      <x:c r="X158" s="12" t="str">
        <x:v>Submit Event is not a guaranteed speaker CFP; audience size, selection rules, duration and economics unknown. Luma calendar, community site</x:v>
      </x:c>
      <x:c r="Y158" s="12" t="str">
        <x:v>https://luma.com/lorong-ai</x:v>
      </x:c>
    </x:row>
    <x:row r="159" ht="33" customHeight="1">
      <x:c r="A159" s="12" t="n">
        <x:v>155</x:v>
      </x:c>
      <x:c r="B159" s="15" t="n">
        <x:f>ROUND(M159*Scoring!$B$3+N159*Scoring!$B$4+O159*Scoring!$B$5+(6-P159)*Scoring!$B$6+Q159*Scoring!$B$7,3)</x:f>
        <x:v>3.532</x:v>
      </x:c>
      <x:c r="C159" s="12" t="str">
        <x:v>conference/event</x:v>
      </x:c>
      <x:c r="D159" s="12" t="str">
        <x:v>Think!AI Summit</x:v>
      </x:c>
      <x:c r="E159" s="12" t="str">
        <x:v>Think!AI Summit 2027</x:v>
      </x:c>
      <x:c r="F159" s="12" t="str">
        <x:v>Pittsburgh, United States</x:v>
      </x:c>
      <x:c r="G159" s="12" t="str">
        <x:v>in-person</x:v>
      </x:c>
      <x:c r="H159" s="18" t="n">
        <x:v>46436.5</x:v>
      </x:c>
      <x:c r="I159" s="12" t="str">
        <x:v>announced-not-open</x:v>
      </x:c>
      <x:c r="J159" s="18" t="n">
        <x:v>46346.5</x:v>
      </x:c>
      <x:c r="K159" s="12" t="str">
        <x:v>Conjure Exactly Enough</x:v>
      </x:c>
      <x:c r="L159" s="12" t="str"/>
      <x:c r="M159" s="12" t="n">
        <x:v>3</x:v>
      </x:c>
      <x:c r="N159" s="12" t="n">
        <x:v>4</x:v>
      </x:c>
      <x:c r="O159" s="12" t="n">
        <x:v>3.13</x:v>
      </x:c>
      <x:c r="P159" s="12" t="n">
        <x:v>1</x:v>
      </x:c>
      <x:c r="Q159" s="12" t="n">
        <x:v>3</x:v>
      </x:c>
      <x:c r="R159" s="12" t="str">
        <x:v>Other domestic location.</x:v>
      </x:c>
      <x:c r="S159" s="12" t="str">
        <x:v>Requires recordings, membership/co-presenter status, real evidence, a demo, or substantial extra material.</x:v>
      </x:c>
      <x:c r="T159" s="12" t="str">
        <x:v>Little public popularity evidence beyond the event or route itself.</x:v>
      </x:c>
      <x:c r="U159" s="12" t="str">
        <x:v>Strong agentic AI/reality-check/responsible AI themes, but the organizer requires an actual implementation and measurable learning.</x:v>
      </x:c>
      <x:c r="V159" s="12" t="str">
        <x:v>Specific implementation, outcomes, lessons, and transferable takeaways; no sales pitches or live demos</x:v>
      </x:c>
      <x:c r="W159" s="12" t="str">
        <x:v>Do not prepare a submission until Dan confirms a truthful real-world implementation story that meets the guidelines.</x:v>
      </x:c>
      <x:c r="X159" s="12" t="str">
        <x:v>CFP not open; real implementation/results requirement may be a hard barrier because supplied materials describe a deterministic fixture, not deployed infrastructure. | Dan's actual production case-study basis and regional connection unknown; submission form not yet open; economics, rights, accessibility, and attendance unknown. | Opening date, economics, rights, accessibility, and whether supplied examples satisfy experience bar unknown | MERGE CONFLICTS/VARIANTS — date_status: confirmed | exact; eligibility: Real-world implementation required; practitioners prioritized; regional voices encouraged | Actual implementation, outcomes, and lessons required; submission_requirements: Specific implementation, outcomes, lessons, and transferable takeaways; no sales pitches or live demos | Abstract; no live demos or product pitches; verified_at: 2026-09-04T23:00:00-06:00 | 2026-09-04T23:30:00-06:00</x:v>
      </x:c>
      <x:c r="Y159" s="12" t="str">
        <x:v>https://www.pghtech.org/events/ThinkAI2027-Call-for-Speakers</x:v>
      </x:c>
    </x:row>
    <x:row r="160" ht="33" customHeight="1">
      <x:c r="A160" s="12" t="n">
        <x:v>156</x:v>
      </x:c>
      <x:c r="B160" s="15" t="n">
        <x:f>ROUND(M160*Scoring!$B$3+N160*Scoring!$B$4+O160*Scoring!$B$5+(6-P160)*Scoring!$B$6+Q160*Scoring!$B$7,3)</x:f>
        <x:v>3.553</x:v>
      </x:c>
      <x:c r="C160" s="12" t="str">
        <x:v>conference/event</x:v>
      </x:c>
      <x:c r="D160" s="12" t="str">
        <x:v>IEEE International Conference on Software Architecture</x:v>
      </x:c>
      <x:c r="E160" s="12" t="str">
        <x:v>ICSA 2027 Tutorials / Technical Briefings</x:v>
      </x:c>
      <x:c r="F160" s="12" t="str">
        <x:v>Sydney, Australia</x:v>
      </x:c>
      <x:c r="G160" s="12" t="str">
        <x:v>in-person</x:v>
      </x:c>
      <x:c r="H160" s="18" t="n">
        <x:v>46454.5</x:v>
      </x:c>
      <x:c r="I160" s="12" t="str">
        <x:v>open</x:v>
      </x:c>
      <x:c r="J160" s="18" t="n">
        <x:v>46376.5</x:v>
      </x:c>
      <x:c r="K160" s="12" t="str">
        <x:v>Conjure Exactly Enough</x:v>
      </x:c>
      <x:c r="L160" s="12" t="str"/>
      <x:c r="M160" s="12" t="n">
        <x:v>3</x:v>
      </x:c>
      <x:c r="N160" s="12" t="n">
        <x:v>5</x:v>
      </x:c>
      <x:c r="O160" s="12" t="n">
        <x:v>2.41</x:v>
      </x:c>
      <x:c r="P160" s="12" t="n">
        <x:v>1</x:v>
      </x:c>
      <x:c r="Q160" s="12" t="n">
        <x:v>3</x:v>
      </x:c>
      <x:c r="R160" s="12" t="str">
        <x:v>Other domestic location.</x:v>
      </x:c>
      <x:c r="S160" s="12" t="str">
        <x:v>Hard credential, publication, domain, or firsthand-evidence requirement.</x:v>
      </x:c>
      <x:c r="T160" s="12" t="str">
        <x:v>Little public popularity evidence beyond the event or route itself.</x:v>
      </x:c>
      <x:c r="U160" s="12" t="str">
        <x:v>Exact software-architecture audience and AI-system relevance.</x:v>
      </x:c>
      <x:c r="V160" s="12" t="str">
        <x:v>PDF proposal through EasyChair; brief speaker information; optional/accepted two-page IEEE companion abstract</x:v>
      </x:c>
      <x:c r="W160" s="12" t="str">
        <x:v>Prefer SAIP technical talk; retain this as backup only after confirming duration and whether the demo can support an interactive briefing.</x:v>
      </x:c>
      <x:c r="X160" s="12" t="str">
        <x:v>Requires expansion or redesign as a tutorial/briefing; IEEE companion publication option; duration not captured. | Duration, economics, accessibility, and author-rights details unknown; likely requires expansion beyond existing deck.</x:v>
      </x:c>
      <x:c r="Y160" s="12" t="str">
        <x:v>https://conf.researchr.org/track/icsa-2027/icsa-2027-tutorials-tech-briefings</x:v>
      </x:c>
    </x:row>
    <x:row r="161" ht="33" customHeight="1">
      <x:c r="A161" s="12" t="n">
        <x:v>157</x:v>
      </x:c>
      <x:c r="B161" s="15" t="n">
        <x:f>ROUND(M161*Scoring!$B$3+N161*Scoring!$B$4+O161*Scoring!$B$5+(6-P161)*Scoring!$B$6+Q161*Scoring!$B$7,3)</x:f>
        <x:v>3.553</x:v>
      </x:c>
      <x:c r="C161" s="12" t="str">
        <x:v>conference/event</x:v>
      </x:c>
      <x:c r="D161" s="12" t="str">
        <x:v>ARC Software Architecture &amp; Engineering Conference</x:v>
      </x:c>
      <x:c r="E161" s="12" t="str">
        <x:v>ARC 2027</x:v>
      </x:c>
      <x:c r="F161" s="12" t="str">
        <x:v>Abu Dhabi, United Arab Emirates</x:v>
      </x:c>
      <x:c r="G161" s="12" t="str">
        <x:v>in-person</x:v>
      </x:c>
      <x:c r="H161" s="18" t="n">
        <x:v>46399.5</x:v>
      </x:c>
      <x:c r="I161" s="12" t="str">
        <x:v>open-undated</x:v>
      </x:c>
      <x:c r="J161" s="18"/>
      <x:c r="K161" s="12" t="str">
        <x:v>Turn Your Thinkin' Tokens Up to 11</x:v>
      </x:c>
      <x:c r="L161" s="12" t="str">
        <x:v>product-engineering</x:v>
      </x:c>
      <x:c r="M161" s="12" t="n">
        <x:v>5</x:v>
      </x:c>
      <x:c r="N161" s="12" t="n">
        <x:v>2</x:v>
      </x:c>
      <x:c r="O161" s="12" t="n">
        <x:v>2.41</x:v>
      </x:c>
      <x:c r="P161" s="12" t="n">
        <x:v>1</x:v>
      </x:c>
      <x:c r="Q161" s="12" t="n">
        <x:v>3</x:v>
      </x:c>
      <x:c r="R161" s="12" t="str">
        <x:v>Overseas before the stated six-month travel window.</x:v>
      </x:c>
      <x:c r="S161" s="12" t="str">
        <x:v>Standard public proposal or organizer route with no hard requirement found.</x:v>
      </x:c>
      <x:c r="T161" s="12" t="str">
        <x:v>Little public popularity evidence beyond the event or route itself.</x:v>
      </x:c>
      <x:c r="U161" s="12" t="str">
        <x:v>Senior architects and AI builders are direct enough, but the new event emphasizes practitioners running real systems.</x:v>
      </x:c>
      <x:c r="V161" s="12" t="str">
        <x:v>Application details not exposed in captured page.</x:v>
      </x:c>
      <x:c r="W161" s="12" t="str">
        <x:v>Keep as an incomplete lead and proceed only if the form accepts an operating-model talk without a production case.</x:v>
      </x:c>
      <x:c r="X161" s="12" t="str">
        <x:v>New event; no deadline or format; qualifying real-production example is unknown. | A live speaker-interest form is not enough to prove a formal CFP is open; deadline, durations, economics, rights, accessibility, attendance, and prior history unknown. | New event; no history. Deadline, economics, rights, accessibility, attendance and Dan's real-production-case eligibility unknown. | Application deadline, formats, economics, rights, accessibility, and Dan's practitioner evidence | MERGE CONFLICTS/VARIANTS — country: United Arab Emirates | UAE; cfp_url: https://futurewitharc.com/ | https://futurewitharc.com/apply-to-speak/; guidelines_url: https://futurewitharc.com/ | https://futurewitharc.com/apply-to-speak/; cfp_status: open-undated | unknown | open; eligibility: Public Apply to Speak control; program describes practitioners running real systems and no recycled slides. | Form prioritizes practitioners with real-world engineering experience, production systems, and technical depth | Every speaker described as a practitioner; peer review and real-system ownership emphasized; formats_and_durations: Format/duration not stated. | unknown; submission_requirements: Application details not exposed in captured page. | Interest form asks name, job title, company, work email, LinkedIn, talk title, speaking history, optional videos, and theme alignment | unknown; verified_at: 2026-09-04T22:30:00-06:00 | 2026-09-04T23:30:00-06:00 | 2026-09-04T12:00:00-06:00</x:v>
      </x:c>
      <x:c r="Y161" s="12" t="str">
        <x:v>https://futurewitharc.com/</x:v>
      </x:c>
    </x:row>
    <x:row r="162" ht="33" customHeight="1">
      <x:c r="A162" s="12" t="n">
        <x:v>158</x:v>
      </x:c>
      <x:c r="B162" s="15" t="n">
        <x:f>ROUND(M162*Scoring!$B$3+N162*Scoring!$B$4+O162*Scoring!$B$5+(6-P162)*Scoring!$B$6+Q162*Scoring!$B$7,3)</x:f>
        <x:v>3.587</x:v>
      </x:c>
      <x:c r="C162" s="12" t="str">
        <x:v>conference/event</x:v>
      </x:c>
      <x:c r="D162" s="12" t="str">
        <x:v>Cloud Native Mumbai</x:v>
      </x:c>
      <x:c r="E162" s="12" t="str">
        <x:v>Cloud Native Mumbai 2026 rolling call</x:v>
      </x:c>
      <x:c r="F162" s="12" t="str">
        <x:v>Mumbai, India</x:v>
      </x:c>
      <x:c r="G162" s="12" t="str">
        <x:v>hybrid</x:v>
      </x:c>
      <x:c r="H162" s="18" t="n">
        <x:v>46277.5</x:v>
      </x:c>
      <x:c r="I162" s="12" t="str">
        <x:v>rolling</x:v>
      </x:c>
      <x:c r="J162" s="18"/>
      <x:c r="K162" s="12" t="str">
        <x:v>The Pager Cried Wolf</x:v>
      </x:c>
      <x:c r="L162" s="12" t="str">
        <x:v>parallelization</x:v>
      </x:c>
      <x:c r="M162" s="12" t="n">
        <x:v>5</x:v>
      </x:c>
      <x:c r="N162" s="12" t="n">
        <x:v>2</x:v>
      </x:c>
      <x:c r="O162" s="12" t="n">
        <x:v>2.55</x:v>
      </x:c>
      <x:c r="P162" s="12" t="n">
        <x:v>1</x:v>
      </x:c>
      <x:c r="Q162" s="12" t="n">
        <x:v>3</x:v>
      </x:c>
      <x:c r="R162" s="12" t="str">
        <x:v>Overseas before the stated six-month travel window.</x:v>
      </x:c>
      <x:c r="S162" s="12" t="str">
        <x:v>Standard public proposal or organizer route with no hard requirement found.</x:v>
      </x:c>
      <x:c r="T162" s="12" t="str">
        <x:v>Little public popularity evidence beyond the event or route itself.</x:v>
      </x:c>
      <x:c r="U162" s="12" t="str">
        <x:v>Regional cloud-native audience fits SRE/platform/AI; route is open but individual future dates are unclear.</x:v>
      </x:c>
      <x:c r="V162" s="12" t="str">
        <x:v>Proposal aligned to cloud native, SRE, platform or cloud-native AI/ML.</x:v>
      </x:c>
      <x:c r="W162" s="12" t="str">
        <x:v>Monitor the rolling call for a dated session before investing in adaptation.</x:v>
      </x:c>
      <x:c r="X162" s="12" t="str">
        <x:v>Future edition/date and economics unknown; September session may already be programmed. | Only one next session date was visible; future dates, format, economics, rights, accessibility and attendance unknown.</x:v>
      </x:c>
      <x:c r="Y162" s="12" t="str">
        <x:v>https://sessionize.com/cloud-native-mumbai-city</x:v>
      </x:c>
    </x:row>
    <x:row r="163" ht="33" customHeight="1">
      <x:c r="A163" s="12" t="n">
        <x:v>159</x:v>
      </x:c>
      <x:c r="B163" s="15" t="n">
        <x:f>ROUND(M163*Scoring!$B$3+N163*Scoring!$B$4+O163*Scoring!$B$5+(6-P163)*Scoring!$B$6+Q163*Scoring!$B$7,3)</x:f>
        <x:v>3.625</x:v>
      </x:c>
      <x:c r="C163" s="12" t="str">
        <x:v>conference/event</x:v>
      </x:c>
      <x:c r="D163" s="12" t="str">
        <x:v>Tokenomicon London</x:v>
      </x:c>
      <x:c r="E163" s="12" t="str">
        <x:v>Tokenomicon London 2027</x:v>
      </x:c>
      <x:c r="F163" s="12" t="str">
        <x:v>London, UK</x:v>
      </x:c>
      <x:c r="G163" s="12" t="str">
        <x:v>in-person</x:v>
      </x:c>
      <x:c r="H163" s="18" t="n">
        <x:v>46426.5</x:v>
      </x:c>
      <x:c r="I163" s="12" t="str">
        <x:v>announced-not-open</x:v>
      </x:c>
      <x:c r="J163" s="18"/>
      <x:c r="K163" s="12" t="str">
        <x:v>Buy Me a Free Tier</x:v>
      </x:c>
      <x:c r="L163" s="12" t="str"/>
      <x:c r="M163" s="12" t="n">
        <x:v>5</x:v>
      </x:c>
      <x:c r="N163" s="12" t="n">
        <x:v>2</x:v>
      </x:c>
      <x:c r="O163" s="12" t="n">
        <x:v>2.7</x:v>
      </x:c>
      <x:c r="P163" s="12" t="n">
        <x:v>1</x:v>
      </x:c>
      <x:c r="Q163" s="12" t="n">
        <x:v>3</x:v>
      </x:c>
      <x:c r="R163" s="12" t="str">
        <x:v>Overseas before the stated six-month travel window.</x:v>
      </x:c>
      <x:c r="S163" s="12" t="str">
        <x:v>Standard public proposal or organizer route with no hard requirement found.</x:v>
      </x:c>
      <x:c r="T163" s="12" t="str">
        <x:v>Little public popularity evidence beyond the event or route itself.</x:v>
      </x:c>
      <x:c r="U163" s="12" t="str">
        <x:v>Organizer taxonomy directly includes cost-to-serve and cost per call.</x:v>
      </x:c>
      <x:c r="V163" s="12" t="str">
        <x:v>unknown</x:v>
      </x:c>
      <x:c r="W163" s="12" t="str">
        <x:v>Monitor organizer page for an editorial CFP and do not substitute sponsorship enquiry.</x:v>
      </x:c>
      <x:c r="X163" s="12" t="str">
        <x:v>No public CFP yet; travel and economics unknown | CFP/equivalent route, requirements, formats, economics, rights, accessibility, and travel</x:v>
      </x:c>
      <x:c r="Y163" s="12" t="str">
        <x:v>https://www.tokeneconomics.com/</x:v>
      </x:c>
    </x:row>
    <x:row r="164" ht="33" customHeight="1">
      <x:c r="A164" s="12" t="n">
        <x:v>160</x:v>
      </x:c>
      <x:c r="B164" s="15" t="n">
        <x:f>ROUND(M164*Scoring!$B$3+N164*Scoring!$B$4+O164*Scoring!$B$5+(6-P164)*Scoring!$B$6+Q164*Scoring!$B$7,3)</x:f>
        <x:v>3.627</x:v>
      </x:c>
      <x:c r="C164" s="12" t="str">
        <x:v>conference/event</x:v>
      </x:c>
      <x:c r="D164" s="12" t="str">
        <x:v>Honolulu Education Conference</x:v>
      </x:c>
      <x:c r="E164" s="12" t="str">
        <x:v>Honolulu Education Conference 2027</x:v>
      </x:c>
      <x:c r="F164" s="12" t="str">
        <x:v>Honolulu, United States</x:v>
      </x:c>
      <x:c r="G164" s="12" t="str">
        <x:v>hybrid</x:v>
      </x:c>
      <x:c r="H164" s="18" t="n">
        <x:v>46456.5</x:v>
      </x:c>
      <x:c r="I164" s="12" t="str">
        <x:v>open</x:v>
      </x:c>
      <x:c r="J164" s="18" t="n">
        <x:v>46339.5</x:v>
      </x:c>
      <x:c r="K164" s="12" t="str">
        <x:v>A Skeptic's Guide to Surviving AI in Education</x:v>
      </x:c>
      <x:c r="L164" s="12" t="str">
        <x:v>evidence-learning</x:v>
      </x:c>
      <x:c r="M164" s="12" t="n">
        <x:v>3</x:v>
      </x:c>
      <x:c r="N164" s="12" t="n">
        <x:v>5</x:v>
      </x:c>
      <x:c r="O164" s="12" t="n">
        <x:v>2.71</x:v>
      </x:c>
      <x:c r="P164" s="12" t="n">
        <x:v>1</x:v>
      </x:c>
      <x:c r="Q164" s="12" t="n">
        <x:v>3</x:v>
      </x:c>
      <x:c r="R164" s="12" t="str">
        <x:v>Other domestic location.</x:v>
      </x:c>
      <x:c r="S164" s="12" t="str">
        <x:v>Hard credential, publication, domain, or firsthand-evidence requirement.</x:v>
      </x:c>
      <x:c r="T164" s="12" t="str">
        <x:v>Little public popularity evidence beyond the event or route itself.</x:v>
      </x:c>
      <x:c r="U164" s="12" t="str">
        <x:v>AI in education, testing/evaluation, higher education, and EdTech are explicit streams</x:v>
      </x:c>
      <x:c r="V164" s="12" t="str">
        <x:v>Up to 300-word English proposal; publication options described</x:v>
      </x:c>
      <x:c r="W164" s="12" t="str">
        <x:v>Keep as lower-confidence lead pending organizer/reputation and full-fee verification</x:v>
      </x:c>
      <x:c r="X164" s="12" t="str">
        <x:v>Organizer credibility and economics insufficiently verified; advance deadline only | Commercial status, fee structure, organizer reputation, rights, travel support, accessibility, and acceptance standards need independent vetting. | Organizer credibility, exact format duration, final deadline beyond advance round, fees, rights, accessibility, and economics require review | MERGE CONFLICTS/VARIANTS — country: United States | USA; eligibility: Education proposals across AI, testing, higher education, and EdTech | Educators, academics, researchers, and students; submission_requirements: Up to 300-word English proposal; publication options described | Proposal up to 300 words; attendance_value: Broad international education audience; organizer-provided attendance not verified | International academic conference; reach unverified; verified_at: 2026-09-04T12:00:00-06:00 | 2026-09-04T23:00:00-06:00</x:v>
      </x:c>
      <x:c r="Y164" s="12" t="str">
        <x:v>https://intesda.org/education-conference/</x:v>
      </x:c>
    </x:row>
    <x:row r="165" ht="33" customHeight="1">
      <x:c r="A165" s="12" t="n">
        <x:v>161</x:v>
      </x:c>
      <x:c r="B165" s="15" t="n">
        <x:f>ROUND(M165*Scoring!$B$3+N165*Scoring!$B$4+O165*Scoring!$B$5+(6-P165)*Scoring!$B$6+Q165*Scoring!$B$7,3)</x:f>
        <x:v>3.715</x:v>
      </x:c>
      <x:c r="C165" s="12" t="str">
        <x:v>conference/event</x:v>
      </x:c>
      <x:c r="D165" s="12" t="str">
        <x:v>SaaStock Europe / AI Growth Summit</x:v>
      </x:c>
      <x:c r="E165" s="12" t="str">
        <x:v>AI Growth Summit Europe 2027</x:v>
      </x:c>
      <x:c r="F165" s="12" t="str">
        <x:v>London, UK</x:v>
      </x:c>
      <x:c r="G165" s="12" t="str">
        <x:v>in-person</x:v>
      </x:c>
      <x:c r="H165" s="18" t="n">
        <x:v>46531.5</x:v>
      </x:c>
      <x:c r="I165" s="12" t="str">
        <x:v>invitation-only-or-unknown</x:v>
      </x:c>
      <x:c r="J165" s="18"/>
      <x:c r="K165" s="12" t="str">
        <x:v>Buy Me a Free Tier</x:v>
      </x:c>
      <x:c r="L165" s="12" t="str"/>
      <x:c r="M165" s="12" t="n">
        <x:v>4</x:v>
      </x:c>
      <x:c r="N165" s="12" t="n">
        <x:v>5</x:v>
      </x:c>
      <x:c r="O165" s="12" t="n">
        <x:v>3.26</x:v>
      </x:c>
      <x:c r="P165" s="12" t="n">
        <x:v>4</x:v>
      </x:c>
      <x:c r="Q165" s="12" t="n">
        <x:v>4</x:v>
      </x:c>
      <x:c r="R165" s="12" t="str">
        <x:v>Overseas at or after the stated six-to-nine-month travel window, or an undated future overseas route.</x:v>
      </x:c>
      <x:c r="S165" s="12" t="str">
        <x:v>No ordinary public speaking route is currently verified.</x:v>
      </x:c>
      <x:c r="T165" s="12" t="str">
        <x:v>Public organizer/platform signal of at least 3,000.</x:v>
      </x:c>
      <x:c r="U165" s="12" t="str">
        <x:v>Audience fit is direct and organizer archive is extensive.</x:v>
      </x:c>
      <x:c r="V165" s="12" t="str">
        <x:v>unknown</x:v>
      </x:c>
      <x:c r="W165" s="12" t="str">
        <x:v>Monitor for a public editorial application; do not use sponsor messaging as a CFP.</x:v>
      </x:c>
      <x:c r="X165" s="12" t="str">
        <x:v>No public editorial speaker route found; acquisition/rebrand creates uncertainty; sponsorship is separate | No public editorial speaker application found after acquisition; only sponsorship contact was prominent</x:v>
      </x:c>
      <x:c r="Y165" s="12" t="str">
        <x:v>https://saastock.com/</x:v>
      </x:c>
    </x:row>
    <x:row r="166" ht="33" customHeight="1">
      <x:c r="A166" s="12" t="n">
        <x:v>162</x:v>
      </x:c>
      <x:c r="B166" s="15" t="n">
        <x:f>ROUND(M166*Scoring!$B$3+N166*Scoring!$B$4+O166*Scoring!$B$5+(6-P166)*Scoring!$B$6+Q166*Scoring!$B$7,3)</x:f>
        <x:v>3.728</x:v>
      </x:c>
      <x:c r="C166" s="12" t="str">
        <x:v>conference/event</x:v>
      </x:c>
      <x:c r="D166" s="12" t="str">
        <x:v>International Conference on Learning</x:v>
      </x:c>
      <x:c r="E166" s="12" t="str">
        <x:v>Thirty-Fourth International Conference on Learning</x:v>
      </x:c>
      <x:c r="F166" s="12" t="str">
        <x:v>Thessaloniki, Greece</x:v>
      </x:c>
      <x:c r="G166" s="12" t="str">
        <x:v>hybrid</x:v>
      </x:c>
      <x:c r="H166" s="18" t="n">
        <x:v>46575.5</x:v>
      </x:c>
      <x:c r="I166" s="12" t="str">
        <x:v>open</x:v>
      </x:c>
      <x:c r="J166" s="18"/>
      <x:c r="K166" s="12" t="str">
        <x:v>A Skeptic's Guide to Surviving AI in Education</x:v>
      </x:c>
      <x:c r="L166" s="12" t="str"/>
      <x:c r="M166" s="12" t="n">
        <x:v>4</x:v>
      </x:c>
      <x:c r="N166" s="12" t="n">
        <x:v>5</x:v>
      </x:c>
      <x:c r="O166" s="12" t="n">
        <x:v>2.51</x:v>
      </x:c>
      <x:c r="P166" s="12" t="n">
        <x:v>2</x:v>
      </x:c>
      <x:c r="Q166" s="12" t="n">
        <x:v>3</x:v>
      </x:c>
      <x:c r="R166" s="12" t="str">
        <x:v>Overseas at or after the stated six-to-nine-month travel window, or an undated future overseas route.</x:v>
      </x:c>
      <x:c r="S166" s="12" t="str">
        <x:v>Hard credential, publication, domain, or firsthand-evidence requirement.</x:v>
      </x:c>
      <x:c r="T166" s="12" t="str">
        <x:v>Recurring program or sponsor/history evidence is visible; no strong comparable audience count was found.</x:v>
      </x:c>
      <x:c r="U166" s="12" t="str">
        <x:v>Special focus explicitly addresses critical AI literacy across schools, universities, and workplaces</x:v>
      </x:c>
      <x:c r="V166" s="12" t="str">
        <x:v>Proposal plus optional publication path; exact requirements not captured</x:v>
      </x:c>
      <x:c r="W166" s="12" t="str">
        <x:v>Review author guidelines and costs before queueing; adapt only as a conceptual/practice paper</x:v>
      </x:c>
      <x:c r="X166" s="12" t="str">
        <x:v>Academic publication orientation; deadline and fees not captured; empirical expectations may exceed current talk | Deadline, fees, speaker economics, rights, accessibility, and research-evidence expectations need direct guideline review</x:v>
      </x:c>
      <x:c r="Y166" s="12" t="str">
        <x:v>https://thelearner.com/2027-conference/call-for-papers</x:v>
      </x:c>
    </x:row>
    <x:row r="167" ht="33" customHeight="1">
      <x:c r="A167" s="12" t="n">
        <x:v>163</x:v>
      </x:c>
      <x:c r="B167" s="15" t="n">
        <x:f>ROUND(M167*Scoring!$B$3+N167*Scoring!$B$4+O167*Scoring!$B$5+(6-P167)*Scoring!$B$6+Q167*Scoring!$B$7,3)</x:f>
        <x:v>3.793</x:v>
      </x:c>
      <x:c r="C167" s="12" t="str">
        <x:v>conference/event</x:v>
      </x:c>
      <x:c r="D167" s="12" t="str">
        <x:v>DORS/CLUC</x:v>
      </x:c>
      <x:c r="E167" s="12" t="str">
        <x:v>DORS/CLUC 2026</x:v>
      </x:c>
      <x:c r="F167" s="12" t="str">
        <x:v>Zagreb, Croatia</x:v>
      </x:c>
      <x:c r="G167" s="12" t="str">
        <x:v>in-person</x:v>
      </x:c>
      <x:c r="H167" s="18" t="n">
        <x:v>46324.5</x:v>
      </x:c>
      <x:c r="I167" s="12" t="str">
        <x:v>unknown</x:v>
      </x:c>
      <x:c r="J167" s="18"/>
      <x:c r="K167" s="12" t="str">
        <x:v>Conjure Exactly Enough</x:v>
      </x:c>
      <x:c r="L167" s="12" t="str"/>
      <x:c r="M167" s="12" t="n">
        <x:v>5</x:v>
      </x:c>
      <x:c r="N167" s="12" t="n">
        <x:v>2</x:v>
      </x:c>
      <x:c r="O167" s="12" t="n">
        <x:v>3.57</x:v>
      </x:c>
      <x:c r="P167" s="12" t="n">
        <x:v>2</x:v>
      </x:c>
      <x:c r="Q167" s="12" t="n">
        <x:v>4</x:v>
      </x:c>
      <x:c r="R167" s="12" t="str">
        <x:v>Overseas before the stated six-month travel window.</x:v>
      </x:c>
      <x:c r="S167" s="12" t="str">
        <x:v>Standard public proposal or organizer route with no hard requirement found.</x:v>
      </x:c>
      <x:c r="T167" s="12" t="str">
        <x:v>Recurring program or sponsor/history evidence is visible; no strong comparable audience count was found.</x:v>
      </x:c>
      <x:c r="U167" s="12" t="str">
        <x:v>Regional route inspected; architecture/AI theme is relevant only with a real open-source project.</x:v>
      </x:c>
      <x:c r="V167" s="12" t="str">
        <x:v>Noncommercial; employer on one slide only; correctly licensed slides</x:v>
      </x:c>
      <x:c r="W167" s="12" t="str">
        <x:v>Exclude unless Dan has an open-source implementation and the organizer confirms the CFP remains open.</x:v>
      </x:c>
      <x:c r="X167" s="12" t="str">
        <x:v>CFP status/deadline unverified; travel/lodging not covered; recording is CC BY-SA 4.0; open-source requirement is a barrier for the current fixture-only talk. | CFP deadline/status not visible in retrieved official page; talk needs an explicit open-source implementation angle.</x:v>
      </x:c>
      <x:c r="Y167" s="12" t="str">
        <x:v>https://2026.dorscluc.org/call-for-speakers/</x:v>
      </x:c>
    </x:row>
    <x:row r="168" ht="33" customHeight="1">
      <x:c r="A168" s="12" t="n">
        <x:v>164</x:v>
      </x:c>
      <x:c r="B168" s="15" t="n">
        <x:f>ROUND(M168*Scoring!$B$3+N168*Scoring!$B$4+O168*Scoring!$B$5+(6-P168)*Scoring!$B$6+Q168*Scoring!$B$7,3)</x:f>
        <x:v>3.828</x:v>
      </x:c>
      <x:c r="C168" s="12" t="str">
        <x:v>conference/event</x:v>
      </x:c>
      <x:c r="D168" s="12" t="str">
        <x:v>ISLS Annual Meeting / ICLS and CSCL</x:v>
      </x:c>
      <x:c r="E168" s="12" t="str">
        <x:v>ISLS Annual Meeting 2027</x:v>
      </x:c>
      <x:c r="F168" s="12" t="str">
        <x:v>in-person</x:v>
      </x:c>
      <x:c r="G168" s="12" t="str">
        <x:v>in-person</x:v>
      </x:c>
      <x:c r="H168" s="18" t="n">
        <x:v>46550.5</x:v>
      </x:c>
      <x:c r="I168" s="12" t="str">
        <x:v>open</x:v>
      </x:c>
      <x:c r="J168" s="18" t="n">
        <x:v>46304.5</x:v>
      </x:c>
      <x:c r="K168" s="12" t="str">
        <x:v>Outsmart Your Lying, Cheating Students</x:v>
      </x:c>
      <x:c r="L168" s="12" t="str"/>
      <x:c r="M168" s="12" t="n">
        <x:v>4</x:v>
      </x:c>
      <x:c r="N168" s="12" t="n">
        <x:v>5</x:v>
      </x:c>
      <x:c r="O168" s="12" t="n">
        <x:v>3.31</x:v>
      </x:c>
      <x:c r="P168" s="12" t="n">
        <x:v>2</x:v>
      </x:c>
      <x:c r="Q168" s="12" t="n">
        <x:v>2</x:v>
      </x:c>
      <x:c r="R168" s="12" t="str">
        <x:v>Overseas at or after the stated six-to-nine-month travel window, or an undated future overseas route.</x:v>
      </x:c>
      <x:c r="S168" s="12" t="str">
        <x:v>Hard credential, publication, domain, or firsthand-evidence requirement.</x:v>
      </x:c>
      <x:c r="T168" s="12" t="str">
        <x:v>Recurring program or sponsor/history evidence is visible; no strong comparable audience count was found.</x:v>
      </x:c>
      <x:c r="U168" s="12" t="str">
        <x:v>Learning-sciences audience fits the thesis, but the route expects a research contribution rather than a ready-made practitioner talk.</x:v>
      </x:c>
      <x:c r="V168" s="12" t="str">
        <x:v>Research-form contribution with empirical validation or literature/theory basis; publication-ready final submission</x:v>
      </x:c>
      <x:c r="W168" s="12" t="str">
        <x:v>Only pursue if source material can support a conceptual/design contribution with literature and empirical evidence; otherwise skip.</x:v>
      </x:c>
      <x:c r="X168" s="12" t="str">
        <x:v>Paper/publication burden; empirical validation may be required; existing talk alone is insufficient | Location, costs, rights, accessibility, and whether existing talk has enough original scholarship for paper route are unknown.</x:v>
      </x:c>
      <x:c r="Y168" s="12" t="str">
        <x:v>https://2027.isls.org/icls-2027-call-for-proposals/</x:v>
      </x:c>
    </x:row>
    <x:row r="169" ht="33" customHeight="1">
      <x:c r="A169" s="12" t="n">
        <x:v>165</x:v>
      </x:c>
      <x:c r="B169" s="15" t="n">
        <x:f>ROUND(M169*Scoring!$B$3+N169*Scoring!$B$4+O169*Scoring!$B$5+(6-P169)*Scoring!$B$6+Q169*Scoring!$B$7,3)</x:f>
        <x:v>3.905</x:v>
      </x:c>
      <x:c r="C169" s="12" t="str">
        <x:v>conference/event</x:v>
      </x:c>
      <x:c r="D169" s="12" t="str">
        <x:v>QCon London</x:v>
      </x:c>
      <x:c r="E169" s="12" t="str">
        <x:v>QCon London 2027</x:v>
      </x:c>
      <x:c r="F169" s="12" t="str">
        <x:v>London, United Kingdom</x:v>
      </x:c>
      <x:c r="G169" s="12" t="str">
        <x:v>in-person</x:v>
      </x:c>
      <x:c r="H169" s="18" t="n">
        <x:v>46490.5</x:v>
      </x:c>
      <x:c r="I169" s="12" t="str">
        <x:v>invitation-only-with-spontaneous-route</x:v>
      </x:c>
      <x:c r="J169" s="18"/>
      <x:c r="K169" s="12" t="str">
        <x:v>Three Search Methods in a Fundable Trenchcoat</x:v>
      </x:c>
      <x:c r="L169" s="12" t="str"/>
      <x:c r="M169" s="12" t="n">
        <x:v>4</x:v>
      </x:c>
      <x:c r="N169" s="12" t="n">
        <x:v>5</x:v>
      </x:c>
      <x:c r="O169" s="12" t="n">
        <x:v>2.22</x:v>
      </x:c>
      <x:c r="P169" s="12" t="n">
        <x:v>1</x:v>
      </x:c>
      <x:c r="Q169" s="12" t="n">
        <x:v>4</x:v>
      </x:c>
      <x:c r="R169" s="12" t="str">
        <x:v>Overseas at or after the stated six-to-nine-month travel window, or an undated future overseas route.</x:v>
      </x:c>
      <x:c r="S169" s="12" t="str">
        <x:v>Hard credential, publication, domain, or firsthand-evidence requirement.</x:v>
      </x:c>
      <x:c r="T169" s="12" t="str">
        <x:v>Little public popularity evidence beyond the event or route itself.</x:v>
      </x:c>
      <x:c r="U169" s="12" t="str">
        <x:v>2027 tracks include Engineering AI Systems, evals, agent architecture, data platforms, and platform engineering.</x:v>
      </x:c>
      <x:c r="V169" s="12" t="str">
        <x:v>Public submission path not found</x:v>
      </x:c>
      <x:c r="W169" s="12" t="str">
        <x:v>Use the spontaneous route only after verifying form status and strengthening production evidence; do not frame it as an open CFP.</x:v>
      </x:c>
      <x:c r="X169" s="12" t="str">
        <x:v>No formal CFP; usually invitation-only; spontaneous form is low-certainty; production implementation evidence expected | Edition dates, contact route for editorial pitches, selection rules, economics, rights, and accessibility unknown | Spontaneous form fields/status, format, honorarium, rights, and Dan's production credentials | MERGE CONFLICTS/VARIANTS — date_status: unconfirmed | exact; country: United Kingdom | UK; guidelines_url: https://qconlondon.com/faq/apr2025 | https://qconlondon.com/; cfp_status: invitation-only-with-spontaneous-route | invitation-only; eligibility: Usually direct invitation; spontaneous submission form exists; production practitioner evidence strongly favored | Curated speaker program; no public CFP route verified; formats_and_durations: Conference talk; duration unknown | unknown; submission_requirements: Public submission path not found | unknown; verified_at: 2026-09-04T12:00:00-06:00 | 2026-09-04T23:00:00-06:00</x:v>
      </x:c>
      <x:c r="Y169" s="12" t="str">
        <x:v>https://qconferences.com/third-party-social-media</x:v>
      </x:c>
    </x:row>
    <x:row r="170" ht="33" customHeight="1">
      <x:c r="A170" s="13" t="n">
        <x:v>166</x:v>
      </x:c>
      <x:c r="B170" s="16" t="n">
        <x:f>ROUND(M170*Scoring!$B$3+N170*Scoring!$B$4+O170*Scoring!$B$5+(6-P170)*Scoring!$B$6+Q170*Scoring!$B$7,3)</x:f>
        <x:v>4.035</x:v>
      </x:c>
      <x:c r="C170" s="13" t="str">
        <x:v>conference/event</x:v>
      </x:c>
      <x:c r="D170" s="13" t="str">
        <x:v>International Conference on AI in Education 2027</x:v>
      </x:c>
      <x:c r="E170" s="13" t="str">
        <x:v>ICAIED London 2027</x:v>
      </x:c>
      <x:c r="F170" s="13" t="str">
        <x:v>London, United Kingdom</x:v>
      </x:c>
      <x:c r="G170" s="13" t="str">
        <x:v>hybrid</x:v>
      </x:c>
      <x:c r="H170" s="19" t="n">
        <x:v>46465.5</x:v>
      </x:c>
      <x:c r="I170" s="13" t="str">
        <x:v>open</x:v>
      </x:c>
      <x:c r="J170" s="19" t="n">
        <x:v>46423.5</x:v>
      </x:c>
      <x:c r="K170" s="13" t="str">
        <x:v>A Skeptic's Guide to Surviving AI in Education</x:v>
      </x:c>
      <x:c r="L170" s="13" t="str">
        <x:v>evidence-learning</x:v>
      </x:c>
      <x:c r="M170" s="13" t="n">
        <x:v>4</x:v>
      </x:c>
      <x:c r="N170" s="13" t="n">
        <x:v>5</x:v>
      </x:c>
      <x:c r="O170" s="13" t="n">
        <x:v>2.74</x:v>
      </x:c>
      <x:c r="P170" s="13" t="n">
        <x:v>1</x:v>
      </x:c>
      <x:c r="Q170" s="13" t="n">
        <x:v>4</x:v>
      </x:c>
      <x:c r="R170" s="13" t="str">
        <x:v>Overseas at or after the stated six-to-nine-month travel window, or an undated future overseas route.</x:v>
      </x:c>
      <x:c r="S170" s="13" t="str">
        <x:v>Hard credential, publication, domain, or firsthand-evidence requirement.</x:v>
      </x:c>
      <x:c r="T170" s="13" t="str">
        <x:v>Little public popularity evidence beyond the event or route itself.</x:v>
      </x:c>
      <x:c r="U170" s="13" t="str">
        <x:v>Exact topic fit across AI literacy, academic integrity, ethics, adaptive learning, and teaching design</x:v>
      </x:c>
      <x:c r="V170" s="13" t="str">
        <x:v>200-250-word abstract and 3-5 keywords; double-blind review; optional full paper afterward</x:v>
      </x:c>
      <x:c r="W170" s="13" t="str">
        <x:v>Do not prioritize until organizer legitimacy, fees, and acceptance standards are independently verified</x:v>
      </x:c>
      <x:c r="X170" s="13" t="str">
        <x:v>First edition; publication-oriented signals; organizer history not established; talk must not claim empirical validation | Organizer identity/provenance, fee structure, publication terms, rights, accessibility, and track fit beyond broad AI education require verification. | First-edition organizer reputation, committee verification, fees, rights, economics, accessibility, and whether a non-study talk will pass review unknown | MERGE CONFLICTS/VARIANTS — edition_label: ICAIED London 2027 | ICAIED 2027; country: United Kingdom | UK; formats_and_durations: Oral or online presentation; exact duration unknown | Abstract presentation; exact duration not captured; submission_requirements: 200-250-word abstract and 3-5 keywords; double-blind review; optional full paper afterward | 200-250 word abstract and 3-5 keywords; double-blind review; attendance_value: First-edition international AI-in-education audience; attendance unknown | New event; no verified attendance or archive; verified_at: 2026-09-04T12:00:00-06:00 | 2026-09-04T23:00:00-06:00</x:v>
      </x:c>
      <x:c r="Y170" s="13" t="str">
        <x:v>https://www.icaied.org/call-for-papers</x:v>
      </x:c>
    </x:row>
  </x:sheetData>
  <x:conditionalFormatting sqref="B5:B170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2c4736550844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2" hidden="0" customWidth="1"/>
    <x:col min="4" max="4" width="28" hidden="0" customWidth="1"/>
    <x:col min="5" max="5" width="15" hidden="0" customWidth="1"/>
    <x:col min="6" max="6" width="34" hidden="0" customWidth="1"/>
    <x:col min="7" max="7" width="8" hidden="0" customWidth="1"/>
    <x:col min="8" max="8" width="11" hidden="0" customWidth="1"/>
    <x:col min="9" max="9" width="44" hidden="0" customWidth="1"/>
    <x:col min="10" max="10" width="44" hidden="0" customWidth="1"/>
    <x:col min="11" max="11" width="38" hidden="0" customWidth="1"/>
    <x:col min="12" max="12" width="44" hidden="0" customWidth="1"/>
    <x:col min="13" max="13" width="44" hidden="0" customWidth="1"/>
  </x:cols>
  <x:sheetData>
    <x:row r="1">
      <x:c r="A1" s="1" t="str">
        <x:v>Community, Meetup and Luma routes</x:v>
      </x:c>
    </x:row>
    <x:row r="2">
      <x:c r="A2" s="2" t="str">
        <x:v>Popularity uses public member, RSVP, attendance, recurrence and sponsor signals; platform counts are not audited attendance.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ht="25.5" customHeight="1">
      <x:c r="A4" s="7" t="str">
        <x:v>Overall rank</x:v>
      </x:c>
      <x:c r="B4" s="7" t="str">
        <x:v>Composite</x:v>
      </x:c>
      <x:c r="C4" s="7" t="str">
        <x:v>Route</x:v>
      </x:c>
      <x:c r="D4" s="7" t="str">
        <x:v>Location / mode</x:v>
      </x:c>
      <x:c r="E4" s="7" t="str">
        <x:v>Next listed date</x:v>
      </x:c>
      <x:c r="F4" s="7" t="str">
        <x:v>Primary talk</x:v>
      </x:c>
      <x:c r="G4" s="7" t="str">
        <x:v>Ease</x:v>
      </x:c>
      <x:c r="H4" s="7" t="str">
        <x:v>Popularity</x:v>
      </x:c>
      <x:c r="I4" s="7" t="str">
        <x:v>Topic fit</x:v>
      </x:c>
      <x:c r="J4" s="7" t="str">
        <x:v>Speaker route</x:v>
      </x:c>
      <x:c r="K4" s="7" t="str">
        <x:v>Popularity basis</x:v>
      </x:c>
      <x:c r="L4" s="7" t="str">
        <x:v>Unknowns</x:v>
      </x:c>
      <x:c r="M4" s="7" t="str">
        <x:v>Source</x:v>
      </x:c>
    </x:row>
    <x:row r="5" ht="36" customHeight="1">
      <x:c r="A5" s="11" t="n">
        <x:v>1</x:v>
      </x:c>
      <x:c r="B5" s="14" t="n">
        <x:v>1.545</x:v>
      </x:c>
      <x:c r="C5" s="11" t="str">
        <x:v>San Diego Python</x:v>
      </x:c>
      <x:c r="D5" s="11" t="str">
        <x:v>San Diego in person; remote speakers accepted</x:v>
      </x:c>
      <x:c r="E5" s="17"/>
      <x:c r="F5" s="11" t="str">
        <x:v>The Pager Cried Wolf</x:v>
      </x:c>
      <x:c r="G5" s="11" t="n">
        <x:v>1</x:v>
      </x:c>
      <x:c r="H5" s="11" t="n">
        <x:v>5</x:v>
      </x:c>
      <x:c r="I5" s="11" t="str">
        <x:v>Failure, Adaptive, Retrieval, Benchmarks, Parallelization, Product, and Free tier with a Python or engineering example</x:v>
      </x:c>
      <x:c r="J5" s="11" t="str">
        <x:v>Direct public Present at our meetup form. The normal ask is a five-to-seven-minute talk; longer talks are possible with approval. Official site</x:v>
      </x:c>
      <x:c r="K5" s="11" t="str">
        <x:v>Public organizer/platform signal of at least 5,573 members, registrations, attendees, or reach.</x:v>
      </x:c>
      <x:c r="L5" s="11" t="str">
        <x:v>Next confirmed speaker agenda, maximum approved duration, selection timing, and any help for travel presenters.</x:v>
      </x:c>
      <x:c r="M5" s="11" t="str">
        <x:v>https://www.sandiegopython.org/</x:v>
      </x:c>
    </x:row>
    <x:row r="6" ht="36" customHeight="1">
      <x:c r="A6" s="12" t="n">
        <x:v>3</x:v>
      </x:c>
      <x:c r="B6" s="15" t="n">
        <x:v>1.63</x:v>
      </x:c>
      <x:c r="C6" s="12" t="str">
        <x:v>Rocky Mountain AI Interest Group (RMAIIG)</x:v>
      </x:c>
      <x:c r="D6" s="12" t="str">
        <x:v>Boulder, Broomfield, Denver, and Fort Collins; in person</x:v>
      </x:c>
      <x:c r="E6" s="18" t="n">
        <x:v>46282.5</x:v>
      </x:c>
      <x:c r="F6" s="12" t="str">
        <x:v>A Skeptic's Guide to Surviving AI in Education</x:v>
      </x:c>
      <x:c r="G6" s="12" t="n">
        <x:v>1</x:v>
      </x:c>
      <x:c r="H6" s="12" t="n">
        <x:v>4</x:v>
      </x:c>
      <x:c r="I6" s="12" t="str">
        <x:v>All ten; particularly Education, Adaptive, Product, Retrieval, Benchmarks, and Judgment. Main events favor broad, practical explanations.</x:v>
      </x:c>
      <x:c r="J6" s="12" t="str">
        <x:v>The group page exposes Message organizers; its September event also has a direct community demo form. Group and organizer route</x:v>
      </x:c>
      <x:c r="K6" s="12" t="str">
        <x:v>Public organizer/platform signal of at least 4,515.</x:v>
      </x:c>
      <x:c r="L6" s="12" t="str"/>
      <x:c r="M6" s="12" t="str">
        <x:v>https://docs.google.com/forms/d/e/1FAIpQLSfN6b3LnMY6p6ppoCWQRxPisIXOZxNIUELyiobzZ3J8BHj5fw/viewform</x:v>
      </x:c>
    </x:row>
    <x:row r="7" ht="36" customHeight="1">
      <x:c r="A7" s="12" t="n">
        <x:v>5</x:v>
      </x:c>
      <x:c r="B7" s="15" t="n">
        <x:v>1.695</x:v>
      </x:c>
      <x:c r="C7" s="12" t="str">
        <x:v>ACM Austin: Enterprise AI &amp; Engineering</x:v>
      </x:c>
      <x:c r="D7" s="12" t="str">
        <x:v>Austin; in person with some online programming</x:v>
      </x:c>
      <x:c r="E7" s="18" t="n">
        <x:v>46282.5</x:v>
      </x:c>
      <x:c r="F7" s="12" t="str">
        <x:v>Break the Mirror on Purpose</x:v>
      </x:c>
      <x:c r="G7" s="12" t="n">
        <x:v>1</x:v>
      </x:c>
      <x:c r="H7" s="12" t="n">
        <x:v>4</x:v>
      </x:c>
      <x:c r="I7" s="12" t="str">
        <x:v>All eight engineering/product talks; Education also fits with a computing-education or integrity angle</x:v>
      </x:c>
      <x:c r="J7" s="12" t="str">
        <x:v>Direct rolling Sessionize route: submit a talk. The group openly asks for real-world talks, demos, or research. Meetup</x:v>
      </x:c>
      <x:c r="K7" s="12" t="str">
        <x:v>Public organizer/platform signal of at least 1,771.</x:v>
      </x:c>
      <x:c r="L7" s="12" t="str">
        <x:v>Whether the October agenda still has space, selection timing, recording, and travel support.</x:v>
      </x:c>
      <x:c r="M7" s="12" t="str">
        <x:v>https://sessionize.com/austin-acm-meetup/</x:v>
      </x:c>
    </x:row>
    <x:row r="8" ht="36" customHeight="1">
      <x:c r="A8" s="12" t="n">
        <x:v>6</x:v>
      </x:c>
      <x:c r="B8" s="15" t="n">
        <x:v>1.695</x:v>
      </x:c>
      <x:c r="C8" s="12" t="str">
        <x:v>Denver DevOps Monthly Meetup</x:v>
      </x:c>
      <x:c r="D8" s="12" t="str">
        <x:v>Code Talent, Denver; monthly, in person</x:v>
      </x:c>
      <x:c r="E8" s="18" t="n">
        <x:v>46310.5</x:v>
      </x:c>
      <x:c r="F8" s="12" t="str">
        <x:v>The Pager Cried Wolf</x:v>
      </x:c>
      <x:c r="G8" s="12" t="n">
        <x:v>1</x:v>
      </x:c>
      <x:c r="H8" s="12" t="n">
        <x:v>4</x:v>
      </x:c>
      <x:c r="I8" s="12" t="str">
        <x:v>Failure, Adaptive, Benchmarks, Parallelization, Product, and Judgment</x:v>
      </x:c>
      <x:c r="J8" s="12" t="str">
        <x:v>Join its public Slack or message organizers through Meetup; monthly meetings currently use open spaces, so a discussion can be easier than a formal talk</x:v>
      </x:c>
      <x:c r="K8" s="12" t="str">
        <x:v>Public organizer/platform signal of at least 2,245.</x:v>
      </x:c>
      <x:c r="L8" s="12" t="str"/>
      <x:c r="M8" s="12" t="str">
        <x:v>https://www.meetup.com/denverdevops/</x:v>
      </x:c>
    </x:row>
    <x:row r="9" ht="36" customHeight="1">
      <x:c r="A9" s="12" t="n">
        <x:v>7</x:v>
      </x:c>
      <x:c r="B9" s="15" t="n">
        <x:v>1.695</x:v>
      </x:c>
      <x:c r="C9" s="12" t="str">
        <x:v>FrontEndParty</x:v>
      </x:c>
      <x:c r="D9" s="12" t="str">
        <x:v>New Orleans; monthly in person</x:v>
      </x:c>
      <x:c r="E9" s="18" t="n">
        <x:v>46273.5</x:v>
      </x:c>
      <x:c r="F9" s="12" t="str">
        <x:v>Break the Mirror on Purpose</x:v>
      </x:c>
      <x:c r="G9" s="12" t="n">
        <x:v>1</x:v>
      </x:c>
      <x:c r="H9" s="12" t="n">
        <x:v>4</x:v>
      </x:c>
      <x:c r="I9" s="12" t="str">
        <x:v>Product, Judgment, Failure, Free tier, Adaptive, and Parallelization; the engineering talks need a web/developer-workflow angle</x:v>
      </x:c>
      <x:c r="J9" s="12" t="str">
        <x:v>The group has an explicit Apply to present route. Current programming uses one five-to-fifteen-minute feature speaker plus show-and-tell and collaborative debugging. Meetup</x:v>
      </x:c>
      <x:c r="K9" s="12" t="str">
        <x:v>Public organizer/platform signal of at least 1,761.</x:v>
      </x:c>
      <x:c r="L9" s="12" t="str">
        <x:v>The public form target was not independently opened, attendance has recently been small, and travel support is unknown.</x:v>
      </x:c>
      <x:c r="M9" s="12" t="str">
        <x:v>https://www.meetup.com/frontendparty/</x:v>
      </x:c>
    </x:row>
    <x:row r="10" ht="36" customHeight="1">
      <x:c r="A10" s="12" t="n">
        <x:v>11</x:v>
      </x:c>
      <x:c r="B10" s="15" t="n">
        <x:v>1.745</x:v>
      </x:c>
      <x:c r="C10" s="12" t="str">
        <x:v>Boston AI Developers Group / AI Camp</x:v>
      </x:c>
      <x:c r="D10" s="12" t="str">
        <x:v>Boston; in person, with some networked online events</x:v>
      </x:c>
      <x:c r="E10" s="18" t="n">
        <x:v>46294.5</x:v>
      </x:c>
      <x:c r="F10" s="12" t="str">
        <x:v>Conjure Exactly Enough</x:v>
      </x:c>
      <x:c r="G10" s="12" t="n">
        <x:v>2</x:v>
      </x:c>
      <x:c r="H10" s="12" t="n">
        <x:v>5</x:v>
      </x:c>
      <x:c r="I10" s="12" t="str">
        <x:v>Adaptive, Retrieval, Benchmarks, Parallelization, Failure, and Product</x:v>
      </x:c>
      <x:c r="J10" s="12" t="str">
        <x:v>The organizer-managed page explicitly invites prospective speakers to reach out; use Message organizers or the linked AI Camp site. Meetup</x:v>
      </x:c>
      <x:c r="K10" s="12" t="str">
        <x:v>Public organizer/platform signal of at least 6,265 members, registrations, attendees, or reach.</x:v>
      </x:c>
      <x:c r="L10" s="12" t="str">
        <x:v>No general proposal form, talk length, compensation, travel support, or selection schedule is published.</x:v>
      </x:c>
      <x:c r="M10" s="12" t="str">
        <x:v>https://www.meetup.com/aittg-boston/</x:v>
      </x:c>
    </x:row>
    <x:row r="11" ht="36" customHeight="1">
      <x:c r="A11" s="12" t="n">
        <x:v>12</x:v>
      </x:c>
      <x:c r="B11" s="15" t="n">
        <x:v>1.745</x:v>
      </x:c>
      <x:c r="C11" s="12" t="str">
        <x:v>NYC AI Developers Group / AI Camp</x:v>
      </x:c>
      <x:c r="D11" s="12" t="str">
        <x:v>New York City; primarily in person</x:v>
      </x:c>
      <x:c r="E11" s="18" t="n">
        <x:v>46282.5</x:v>
      </x:c>
      <x:c r="F11" s="12" t="str">
        <x:v>Conjure Exactly Enough</x:v>
      </x:c>
      <x:c r="G11" s="12" t="n">
        <x:v>2</x:v>
      </x:c>
      <x:c r="H11" s="12" t="n">
        <x:v>5</x:v>
      </x:c>
      <x:c r="I11" s="12" t="str">
        <x:v>Adaptive, Retrieval, Benchmarks, Parallelization, Failure, Free tier, and Product</x:v>
      </x:c>
      <x:c r="J11" s="12" t="str">
        <x:v>Current listings include a Submit Topics route, and the group page invites speakers to reach out. Meetup</x:v>
      </x:c>
      <x:c r="K11" s="12" t="str">
        <x:v>Public organizer/platform signal of at least 12,221 members, registrations, attendees, or reach.</x:v>
      </x:c>
      <x:c r="L11" s="12" t="str">
        <x:v>Proposal review cadence, format, travel, compensation, and whether the visible form is event-specific.</x:v>
      </x:c>
      <x:c r="M11" s="12" t="str">
        <x:v>https://www.meetup.com/aittg-nyc/</x:v>
      </x:c>
    </x:row>
    <x:row r="12" ht="36" customHeight="1">
      <x:c r="A12" s="12" t="n">
        <x:v>13</x:v>
      </x:c>
      <x:c r="B12" s="15" t="n">
        <x:v>1.745</x:v>
      </x:c>
      <x:c r="C12" s="12" t="str">
        <x:v>Orlando Developers</x:v>
      </x:c>
      <x:c r="D12" s="12" t="str">
        <x:v>Orlando; in person</x:v>
      </x:c>
      <x:c r="E12" s="18"/>
      <x:c r="F12" s="12" t="str">
        <x:v>Break the Mirror on Purpose</x:v>
      </x:c>
      <x:c r="G12" s="12" t="n">
        <x:v>2</x:v>
      </x:c>
      <x:c r="H12" s="12" t="n">
        <x:v>5</x:v>
      </x:c>
      <x:c r="I12" s="12" t="str">
        <x:v>Product, Failure, Adaptive, Retrieval, Benchmarks, Parallelization, Judgment, and Free tier</x:v>
      </x:c>
      <x:c r="J12" s="12" t="str">
        <x:v>No standing speaker form was found. Use the public organizer-message route on Meetup or the official Discord; the group runs technical talks and learning sessions. Meetup · community site</x:v>
      </x:c>
      <x:c r="K12" s="12" t="str">
        <x:v>Public organizer/platform signal of at least 8,545 members, registrations, attendees, or reach.</x:v>
      </x:c>
      <x:c r="L12" s="12" t="str">
        <x:v>Next technical-program date, submission expectations, duration, and whether the organizer prioritizes local speakers.</x:v>
      </x:c>
      <x:c r="M12" s="12" t="str">
        <x:v>https://www.meetup.com/orlandodevs/</x:v>
      </x:c>
    </x:row>
    <x:row r="13" ht="36" customHeight="1">
      <x:c r="A13" s="12" t="n">
        <x:v>14</x:v>
      </x:c>
      <x:c r="B13" s="15" t="n">
        <x:v>1.78</x:v>
      </x:c>
      <x:c r="C13" s="12" t="str">
        <x:v>Artificial Intelligencers</x:v>
      </x:c>
      <x:c r="D13" s="12" t="str">
        <x:v>Nashville/Brentwood; recurring in person</x:v>
      </x:c>
      <x:c r="E13" s="18" t="n">
        <x:v>46289.5</x:v>
      </x:c>
      <x:c r="F13" s="12" t="str">
        <x:v>Conjure Exactly Enough</x:v>
      </x:c>
      <x:c r="G13" s="12" t="n">
        <x:v>1</x:v>
      </x:c>
      <x:c r="H13" s="12" t="n">
        <x:v>3</x:v>
      </x:c>
      <x:c r="I13" s="12" t="str">
        <x:v>All ten, especially Adaptive, Retrieval, Benchmarks, Failure, and Education with a concrete experiment</x:v>
      </x:c>
      <x:c r="J13" s="12" t="str">
        <x:v>Message the organizers on Meetup or use the public Discord. They maintain a list of people who want to share; presentations and demos run fifteen to twenty minutes. Meetup</x:v>
      </x:c>
      <x:c r="K13" s="12" t="str">
        <x:v>Public organizer/platform signal of at least 527.</x:v>
      </x:c>
      <x:c r="L13" s="12" t="str">
        <x:v>September agenda availability, travel support, recording, and whether a slide talk needs a live demonstration.</x:v>
      </x:c>
      <x:c r="M13" s="12" t="str">
        <x:v>https://www.meetup.com/nashville-ai-engineering/</x:v>
      </x:c>
    </x:row>
    <x:row r="14" ht="36" customHeight="1">
      <x:c r="A14" s="12" t="n">
        <x:v>16</x:v>
      </x:c>
      <x:c r="B14" s="15" t="n">
        <x:v>1.83</x:v>
      </x:c>
      <x:c r="C14" s="12" t="str">
        <x:v>AI &amp; Product Colorado</x:v>
      </x:c>
      <x:c r="D14" s="12" t="str">
        <x:v>Boulder and Denver; monthly, in person</x:v>
      </x:c>
      <x:c r="E14" s="18" t="n">
        <x:v>46279.5</x:v>
      </x:c>
      <x:c r="F14" s="12" t="str">
        <x:v>Break the Mirror on Purpose</x:v>
      </x:c>
      <x:c r="G14" s="12" t="n">
        <x:v>2</x:v>
      </x:c>
      <x:c r="H14" s="12" t="n">
        <x:v>4</x:v>
      </x:c>
      <x:c r="I14" s="12" t="str">
        <x:v>Product is the direct hit; Judgment, Benchmarks, Adaptive, and Failure also fit product decision-making</x:v>
      </x:c>
      <x:c r="J14" s="12" t="str">
        <x:v>Message organizers on the Meetup page. No general speaker form found.</x:v>
      </x:c>
      <x:c r="K14" s="12" t="str">
        <x:v>Public organizer/platform signal of at least 1,842.</x:v>
      </x:c>
      <x:c r="L14" s="12" t="str"/>
      <x:c r="M14" s="12" t="str">
        <x:v>https://www.meetup.com/meetup-group-ai-and-product/</x:v>
      </x:c>
    </x:row>
    <x:row r="15" ht="36" customHeight="1">
      <x:c r="A15" s="12" t="n">
        <x:v>17</x:v>
      </x:c>
      <x:c r="B15" s="15" t="n">
        <x:v>1.83</x:v>
      </x:c>
      <x:c r="C15" s="12" t="str">
        <x:v>OLLI at the University of Denver</x:v>
      </x:c>
      <x:c r="D15" s="12" t="str">
        <x:v>Six Denver-metro sites and Zoom; adult lifelong learning</x:v>
      </x:c>
      <x:c r="E15" s="18" t="n">
        <x:v>46281.5</x:v>
      </x:c>
      <x:c r="F15" s="12" t="str">
        <x:v>Conjure Exactly Enough</x:v>
      </x:c>
      <x:c r="G15" s="12" t="n">
        <x:v>2</x:v>
      </x:c>
      <x:c r="H15" s="12" t="n">
        <x:v>4</x:v>
      </x:c>
      <x:c r="I15" s="12" t="str">
        <x:v>Education and Judgment are strongest; Product, Free tier, and broad AI literacy can work as multi-session courses</x:v>
      </x:c>
      <x:c r="J15" s="12" t="str">
        <x:v>Submit a course proposal through the Facilitator Portal; the office provides guidance and proposal deadlines. Facilitator FAQ and contact</x:v>
      </x:c>
      <x:c r="K15" s="12" t="str">
        <x:v>Public organizer/platform signal of at least 2,000.</x:v>
      </x:c>
      <x:c r="L15" s="12" t="str"/>
      <x:c r="M15" s="12" t="str">
        <x:v>https://olli.du.edu/olli/about/</x:v>
      </x:c>
    </x:row>
    <x:row r="16" ht="36" customHeight="1">
      <x:c r="A16" s="12" t="n">
        <x:v>19</x:v>
      </x:c>
      <x:c r="B16" s="15" t="n">
        <x:v>1.845</x:v>
      </x:c>
      <x:c r="C16" s="12" t="str">
        <x:v>Denver AI and Machine Learning Group</x:v>
      </x:c>
      <x:c r="D16" s="12" t="str">
        <x:v>Westminster/Denver; in person with study sessions</x:v>
      </x:c>
      <x:c r="E16" s="18" t="n">
        <x:v>46278.5</x:v>
      </x:c>
      <x:c r="F16" s="12" t="str">
        <x:v>Conjure Exactly Enough</x:v>
      </x:c>
      <x:c r="G16" s="12" t="n">
        <x:v>1</x:v>
      </x:c>
      <x:c r="H16" s="12" t="n">
        <x:v>3</x:v>
      </x:c>
      <x:c r="I16" s="12" t="str">
        <x:v>Any technical talk; especially Adaptive, Retrieval, Benchmarks, Parallelization, and Failure</x:v>
      </x:c>
      <x:c r="J16" s="12" t="str">
        <x:v>The event explicitly says to message an organizer for a lightning or future extended talk. Meetup</x:v>
      </x:c>
      <x:c r="K16" s="12" t="str">
        <x:v>Public organizer/platform signal of at least 674.</x:v>
      </x:c>
      <x:c r="L16" s="12" t="str"/>
      <x:c r="M16" s="12" t="str">
        <x:v>https://www.meetup.com/denverml/</x:v>
      </x:c>
    </x:row>
    <x:row r="17" ht="36" customHeight="1">
      <x:c r="A17" s="12" t="n">
        <x:v>20</x:v>
      </x:c>
      <x:c r="B17" s="15" t="n">
        <x:v>1.895</x:v>
      </x:c>
      <x:c r="C17" s="12" t="str">
        <x:v>AI LA</x:v>
      </x:c>
      <x:c r="D17" s="12" t="str">
        <x:v>Los Angeles; third-Thursday monthly format, in person</x:v>
      </x:c>
      <x:c r="E17" s="18"/>
      <x:c r="F17" s="12" t="str">
        <x:v>A Skeptic's Guide to Surviving AI in Education</x:v>
      </x:c>
      <x:c r="G17" s="12" t="n">
        <x:v>2</x:v>
      </x:c>
      <x:c r="H17" s="12" t="n">
        <x:v>4</x:v>
      </x:c>
      <x:c r="I17" s="12" t="str">
        <x:v>Education, Judgment, Product, Adaptive, Free tier, and Failure</x:v>
      </x:c>
      <x:c r="J17" s="12" t="str">
        <x:v>The organizer-managed page explicitly asks people to get in touch to showcase a project; use its mailing-list/contact route or Message organizers. Meetup</x:v>
      </x:c>
      <x:c r="K17" s="12" t="str">
        <x:v>Public organizer/platform signal of at least 2,917.</x:v>
      </x:c>
      <x:c r="L17" s="12" t="str">
        <x:v>Recent visible events are sparse, and no public talk form, duration, or current agenda is published. Verify that monthly stage programming is active.</x:v>
      </x:c>
      <x:c r="M17" s="12" t="str">
        <x:v>https://www.meetup.com/ai-la-meetup/</x:v>
      </x:c>
    </x:row>
    <x:row r="18" ht="36" customHeight="1">
      <x:c r="A18" s="12" t="n">
        <x:v>21</x:v>
      </x:c>
      <x:c r="B18" s="15" t="n">
        <x:v>1.895</x:v>
      </x:c>
      <x:c r="C18" s="12" t="str">
        <x:v>Denver AI Developers Group / AI Camp</x:v>
      </x:c>
      <x:c r="D18" s="12" t="str">
        <x:v>Denver and online</x:v>
      </x:c>
      <x:c r="E18" s="18" t="n">
        <x:v>46287.5</x:v>
      </x:c>
      <x:c r="F18" s="12" t="str">
        <x:v>Conjure Exactly Enough</x:v>
      </x:c>
      <x:c r="G18" s="12" t="n">
        <x:v>2</x:v>
      </x:c>
      <x:c r="H18" s="12" t="n">
        <x:v>4</x:v>
      </x:c>
      <x:c r="I18" s="12" t="str">
        <x:v>Adaptive, Retrieval, Benchmarks, Parallelization, Failure, and Product</x:v>
      </x:c>
      <x:c r="J18" s="12" t="str">
        <x:v>Page says prospective speakers should reach out; use Message organizers or the linked AI Camp site. Meetup</x:v>
      </x:c>
      <x:c r="K18" s="12" t="str">
        <x:v>Public organizer/platform signal of at least 1,763.</x:v>
      </x:c>
      <x:c r="L18" s="12" t="str"/>
      <x:c r="M18" s="12" t="str">
        <x:v>https://www.aicamp.ai/</x:v>
      </x:c>
    </x:row>
    <x:row r="19" ht="36" customHeight="1">
      <x:c r="A19" s="12" t="n">
        <x:v>22</x:v>
      </x:c>
      <x:c r="B19" s="15" t="n">
        <x:v>1.895</x:v>
      </x:c>
      <x:c r="C19" s="12" t="str">
        <x:v>Denver AI Group</x:v>
      </x:c>
      <x:c r="D19" s="12" t="str">
        <x:v>University of Denver; monthly, in person</x:v>
      </x:c>
      <x:c r="E19" s="18" t="n">
        <x:v>46288.5</x:v>
      </x:c>
      <x:c r="F19" s="12" t="str">
        <x:v>Break the Mirror on Purpose</x:v>
      </x:c>
      <x:c r="G19" s="12" t="n">
        <x:v>2</x:v>
      </x:c>
      <x:c r="H19" s="12" t="n">
        <x:v>4</x:v>
      </x:c>
      <x:c r="I19" s="12" t="str">
        <x:v>Product, Benchmarks, Adaptive, Retrieval, and Judgment; reframe for mixed operators, founders, and technologists</x:v>
      </x:c>
      <x:c r="J19" s="12" t="str">
        <x:v>Message organizers on the Meetup group page. No formal speaker form found.</x:v>
      </x:c>
      <x:c r="K19" s="12" t="str">
        <x:v>Public organizer/platform signal of at least 2,469.</x:v>
      </x:c>
      <x:c r="L19" s="12" t="str"/>
      <x:c r="M19" s="12" t="str">
        <x:v>https://www.meetup.com/denverai/</x:v>
      </x:c>
    </x:row>
    <x:row r="20" ht="36" customHeight="1">
      <x:c r="A20" s="12" t="n">
        <x:v>26</x:v>
      </x:c>
      <x:c r="B20" s="15" t="n">
        <x:v>1.945</x:v>
      </x:c>
      <x:c r="C20" s="12" t="str">
        <x:v>New Tech Seattle</x:v>
      </x:c>
      <x:c r="D20" s="12" t="str">
        <x:v>Seattle; monthly in person, plus separate virtual programming</x:v>
      </x:c>
      <x:c r="E20" s="18" t="n">
        <x:v>46280.5</x:v>
      </x:c>
      <x:c r="F20" s="12" t="str">
        <x:v>Break the Mirror on Purpose</x:v>
      </x:c>
      <x:c r="G20" s="12" t="n">
        <x:v>3</x:v>
      </x:c>
      <x:c r="H20" s="12" t="n">
        <x:v>5</x:v>
      </x:c>
      <x:c r="I20" s="12" t="str">
        <x:v>Product, Judgment, Free tier, Failure, Education, and broad versions of the technical talks</x:v>
      </x:c>
      <x:c r="J20" s="12" t="str">
        <x:v>The first-party site says community members can present at monthly meetups; use its public community/contact route. About New Tech Northwest</x:v>
      </x:c>
      <x:c r="K20" s="12" t="str">
        <x:v>Public organizer/platform signal of at least 60,000 members, registrations, attendees, or reach.</x:v>
      </x:c>
      <x:c r="L20" s="12" t="str">
        <x:v>No dedicated presenter form, duration, editorial criteria, or speaker economics were found. Startup/product showcases may be favored over independent talks.</x:v>
      </x:c>
      <x:c r="M20" s="12" t="str">
        <x:v>https://www.newtechnorthwest.com/about/</x:v>
      </x:c>
    </x:row>
    <x:row r="21" ht="36" customHeight="1">
      <x:c r="A21" s="12" t="n">
        <x:v>27</x:v>
      </x:c>
      <x:c r="B21" s="15" t="n">
        <x:v>1.945</x:v>
      </x:c>
      <x:c r="C21" s="12" t="str">
        <x:v>ProductTank San Francisco</x:v>
      </x:c>
      <x:c r="D21" s="12" t="str">
        <x:v>San Francisco; in person</x:v>
      </x:c>
      <x:c r="E21" s="18"/>
      <x:c r="F21" s="12" t="str">
        <x:v>Break the Mirror on Purpose</x:v>
      </x:c>
      <x:c r="G21" s="12" t="n">
        <x:v>3</x:v>
      </x:c>
      <x:c r="H21" s="12" t="n">
        <x:v>5</x:v>
      </x:c>
      <x:c r="I21" s="12" t="str">
        <x:v>Product, Judgment, Failure, Free tier, Adaptive, and Benchmarks</x:v>
      </x:c>
      <x:c r="J21" s="12" t="str">
        <x:v>Join Mind the Product's public speaker directory so local organizers can find the talk; the chapter also exposes organizer messaging. Speaker directory route · chapter</x:v>
      </x:c>
      <x:c r="K21" s="12" t="str">
        <x:v>Public organizer/platform signal of at least 7,075 members, registrations, attendees, or reach.</x:v>
      </x:c>
      <x:c r="L21" s="12" t="str">
        <x:v>Current local programming cadence, slot length, local selection process, and whether directory entries can name several talks.</x:v>
      </x:c>
      <x:c r="M21" s="12" t="str">
        <x:v>https://www.mindtheproduct.com/producttank/</x:v>
      </x:c>
    </x:row>
    <x:row r="22" ht="36" customHeight="1">
      <x:c r="A22" s="12" t="n">
        <x:v>30</x:v>
      </x:c>
      <x:c r="B22" s="15" t="n">
        <x:v>1.995</x:v>
      </x:c>
      <x:c r="C22" s="12" t="str">
        <x:v>Colorado AI Builders</x:v>
      </x:c>
      <x:c r="D22" s="12" t="str">
        <x:v>Alternates Boulder and Denver about every six weeks; in person</x:v>
      </x:c>
      <x:c r="E22" s="18" t="n">
        <x:v>46280.5</x:v>
      </x:c>
      <x:c r="F22" s="12" t="str">
        <x:v>Conjure Exactly Enough</x:v>
      </x:c>
      <x:c r="G22" s="12" t="n">
        <x:v>1</x:v>
      </x:c>
      <x:c r="H22" s="12" t="n">
        <x:v>2</x:v>
      </x:c>
      <x:c r="I22" s="12" t="str">
        <x:v>Adaptive, Product, Retrieval, Parallelization, Benchmarks, and Free tier as a concrete demo</x:v>
      </x:c>
      <x:c r="J22" s="12" t="str">
        <x:v>Put a demo description in the event RSVP; organizers state they receive more demo requests than slots. 2026-09-15 Luma event</x:v>
      </x:c>
      <x:c r="K22" s="12" t="str">
        <x:v>Recurring program or sponsor/history evidence is visible; no strong comparable audience count was found.</x:v>
      </x:c>
      <x:c r="L22" s="12" t="str"/>
      <x:c r="M22" s="12" t="str">
        <x:v>https://luma.com/albyi559</x:v>
      </x:c>
    </x:row>
    <x:row r="23" ht="36" customHeight="1">
      <x:c r="A23" s="12" t="n">
        <x:v>31</x:v>
      </x:c>
      <x:c r="B23" s="15" t="n">
        <x:v>1.995</x:v>
      </x:c>
      <x:c r="C23" s="12" t="str">
        <x:v>Vegas Programmers</x:v>
      </x:c>
      <x:c r="D23" s="12" t="str">
        <x:v>Las Vegas; third Saturday at Tech Alley</x:v>
      </x:c>
      <x:c r="E23" s="18" t="n">
        <x:v>46284.5</x:v>
      </x:c>
      <x:c r="F23" s="12" t="str">
        <x:v>Break the Mirror on Purpose</x:v>
      </x:c>
      <x:c r="G23" s="12" t="n">
        <x:v>1</x:v>
      </x:c>
      <x:c r="H23" s="12" t="n">
        <x:v>2</x:v>
      </x:c>
      <x:c r="I23" s="12" t="str">
        <x:v>Product, Failure, Adaptive, Retrieval, Benchmarks, Parallelization, Judgment, and Free tier</x:v>
      </x:c>
      <x:c r="J23" s="12" t="str">
        <x:v>The group publishes a direct Present your idea at Demo Time route. Vegas Programmers</x:v>
      </x:c>
      <x:c r="K23" s="12" t="str">
        <x:v>Recurring program or sponsor/history evidence is visible; no strong comparable audience count was found.</x:v>
      </x:c>
      <x:c r="L23" s="12" t="str">
        <x:v>Demo length, September availability, selection method, and whether the requested talk must include code.</x:v>
      </x:c>
      <x:c r="M23" s="12" t="str">
        <x:v>https://www.phpvegas.com/</x:v>
      </x:c>
    </x:row>
    <x:row r="24" ht="36" customHeight="1">
      <x:c r="A24" s="12" t="n">
        <x:v>37</x:v>
      </x:c>
      <x:c r="B24" s="15" t="n">
        <x:v>2.045</x:v>
      </x:c>
      <x:c r="C24" s="12" t="str">
        <x:v>Boulder/Denver Data + AI Meetup</x:v>
      </x:c>
      <x:c r="D24" s="12" t="str">
        <x:v>Boulder/Denver and online</x:v>
      </x:c>
      <x:c r="E24" s="18"/>
      <x:c r="F24" s="12" t="str">
        <x:v>Three Search Methods in a Fundable Trenchcoat</x:v>
      </x:c>
      <x:c r="G24" s="12" t="n">
        <x:v>2</x:v>
      </x:c>
      <x:c r="H24" s="12" t="n">
        <x:v>3</x:v>
      </x:c>
      <x:c r="I24" s="12" t="str">
        <x:v>Retrieval, Benchmarks, Adaptive, Parallelization, and Failure</x:v>
      </x:c>
      <x:c r="J24" s="12" t="str">
        <x:v>The page says Databricks’ community team is looking for speakers; message the organizer team. Meetup</x:v>
      </x:c>
      <x:c r="K24" s="12" t="str">
        <x:v>Public organizer/platform signal of at least 781.</x:v>
      </x:c>
      <x:c r="L24" s="12" t="str"/>
      <x:c r="M24" s="12" t="str">
        <x:v>https://www.meetup.com/boulder-denver-data-ai-meetup/</x:v>
      </x:c>
    </x:row>
    <x:row r="25" ht="36" customHeight="1">
      <x:c r="A25" s="12" t="n">
        <x:v>38</x:v>
      </x:c>
      <x:c r="B25" s="15" t="n">
        <x:v>2.045</x:v>
      </x:c>
      <x:c r="C25" s="12" t="str">
        <x:v>Develop Denver</x:v>
      </x:c>
      <x:c r="D25" s="12" t="str">
        <x:v>Denver and online</x:v>
      </x:c>
      <x:c r="E25" s="18"/>
      <x:c r="F25" s="12" t="str">
        <x:v>Break the Mirror on Purpose</x:v>
      </x:c>
      <x:c r="G25" s="12" t="n">
        <x:v>2</x:v>
      </x:c>
      <x:c r="H25" s="12" t="n">
        <x:v>3</x:v>
      </x:c>
      <x:c r="I25" s="12" t="str">
        <x:v>Product, Judgment, Failure, Adaptive, and Education</x:v>
      </x:c>
      <x:c r="J25" s="12" t="str">
        <x:v>Talks are submitted and community-voted; use Message organizer or the public Discord on the Meetup page. No current form found.</x:v>
      </x:c>
      <x:c r="K25" s="12" t="str">
        <x:v>Public organizer/platform signal of at least 654.</x:v>
      </x:c>
      <x:c r="L25" s="12" t="str"/>
      <x:c r="M25" s="12" t="str">
        <x:v>https://www.meetup.com/develop-denver/</x:v>
      </x:c>
    </x:row>
    <x:row r="26" ht="36" customHeight="1">
      <x:c r="A26" s="12" t="n">
        <x:v>43</x:v>
      </x:c>
      <x:c r="B26" s="15" t="n">
        <x:v>2.095</x:v>
      </x:c>
      <x:c r="C26" s="12" t="str">
        <x:v>DevOpsDays Rockies</x:v>
      </x:c>
      <x:c r="D26" s="12" t="str">
        <x:v>Denver; in person</x:v>
      </x:c>
      <x:c r="E26" s="18" t="n">
        <x:v>46287.5</x:v>
      </x:c>
      <x:c r="F26" s="12" t="str">
        <x:v>The Pager Cried Wolf</x:v>
      </x:c>
      <x:c r="G26" s="12" t="n">
        <x:v>3</x:v>
      </x:c>
      <x:c r="H26" s="12" t="n">
        <x:v>4</x:v>
      </x:c>
      <x:c r="I26" s="12" t="str">
        <x:v>Failure, Adaptive, Benchmarks, Parallelization, Product, and Judgment</x:v>
      </x:c>
      <x:c r="J26" s="12" t="str">
        <x:v>2026 CFP is closed. Monitor the official community site and Pretalx CFP archive; organizers explicitly offered proposal help and local writing meetups</x:v>
      </x:c>
      <x:c r="K26" s="12" t="str">
        <x:v>Public organizer/platform signal of at least 2,245.</x:v>
      </x:c>
      <x:c r="L26" s="12" t="str"/>
      <x:c r="M26" s="12" t="str">
        <x:v>https://denverdevops.org/</x:v>
      </x:c>
    </x:row>
    <x:row r="27" ht="36" customHeight="1">
      <x:c r="A27" s="12" t="n">
        <x:v>44</x:v>
      </x:c>
      <x:c r="B27" s="15" t="n">
        <x:v>2.095</x:v>
      </x:c>
      <x:c r="C27" s="12" t="str">
        <x:v>ProductTank Chicago</x:v>
      </x:c>
      <x:c r="D27" s="12" t="str">
        <x:v>Chicago; in person</x:v>
      </x:c>
      <x:c r="E27" s="18"/>
      <x:c r="F27" s="12" t="str">
        <x:v>Break the Mirror on Purpose</x:v>
      </x:c>
      <x:c r="G27" s="12" t="n">
        <x:v>3</x:v>
      </x:c>
      <x:c r="H27" s="12" t="n">
        <x:v>4</x:v>
      </x:c>
      <x:c r="I27" s="12" t="str">
        <x:v>Product, Judgment, Failure, Free tier, Adaptive, and Benchmarks</x:v>
      </x:c>
      <x:c r="J27" s="12" t="str">
        <x:v>Join Mind the Product's public speaker directory or message the local organizers. Speaker route · chapter</x:v>
      </x:c>
      <x:c r="K27" s="12" t="str">
        <x:v>Public organizer/platform signal of at least 4,881.</x:v>
      </x:c>
      <x:c r="L27" s="12" t="str">
        <x:v>Current calendar, local review process, duration, and speaker economics.</x:v>
      </x:c>
      <x:c r="M27" s="12" t="str">
        <x:v>https://www.mindtheproduct.com/producttank/</x:v>
      </x:c>
    </x:row>
    <x:row r="28" ht="36" customHeight="1">
      <x:c r="A28" s="12" t="n">
        <x:v>45</x:v>
      </x:c>
      <x:c r="B28" s="15" t="n">
        <x:v>2.095</x:v>
      </x:c>
      <x:c r="C28" s="12" t="str">
        <x:v>ProductTank Los Angeles</x:v>
      </x:c>
      <x:c r="D28" s="12" t="str">
        <x:v>Los Angeles/Pasadena; in person</x:v>
      </x:c>
      <x:c r="E28" s="18" t="n">
        <x:v>46274.5</x:v>
      </x:c>
      <x:c r="F28" s="12" t="str">
        <x:v>Break the Mirror on Purpose</x:v>
      </x:c>
      <x:c r="G28" s="12" t="n">
        <x:v>3</x:v>
      </x:c>
      <x:c r="H28" s="12" t="n">
        <x:v>4</x:v>
      </x:c>
      <x:c r="I28" s="12" t="str">
        <x:v>Product, Judgment, Failure, Free tier, Adaptive, and Benchmarks</x:v>
      </x:c>
      <x:c r="J28" s="12" t="str">
        <x:v>Join the public ProductTank speaker directory; the local Meetup also supports organizer messaging. Speaker route · chapter</x:v>
      </x:c>
      <x:c r="K28" s="12" t="str">
        <x:v>Public organizer/platform signal of at least 2,552.</x:v>
      </x:c>
      <x:c r="L28" s="12" t="str">
        <x:v>Local speaker review cadence, slot length, economics, and whether the September program is already final.</x:v>
      </x:c>
      <x:c r="M28" s="12" t="str">
        <x:v>https://www.mindtheproduct.com/producttank/</x:v>
      </x:c>
    </x:row>
    <x:row r="29" ht="36" customHeight="1">
      <x:c r="A29" s="12" t="n">
        <x:v>47</x:v>
      </x:c>
      <x:c r="B29" s="15" t="n">
        <x:v>2.145</x:v>
      </x:c>
      <x:c r="C29" s="12" t="str">
        <x:v>Boulder Ruby</x:v>
      </x:c>
      <x:c r="D29" s="12" t="str">
        <x:v>Boulder; in person or remote</x:v>
      </x:c>
      <x:c r="E29" s="18"/>
      <x:c r="F29" s="12" t="str">
        <x:v>Break the Mirror on Purpose</x:v>
      </x:c>
      <x:c r="G29" s="12" t="n">
        <x:v>1</x:v>
      </x:c>
      <x:c r="H29" s="12" t="n">
        <x:v>1</x:v>
      </x:c>
      <x:c r="I29" s="12" t="str">
        <x:v>Product, Judgment, Failure, Parallelization, Adaptive; needs a software-development or Ruby-adjacent framing</x:v>
      </x:c>
      <x:c r="J29" s="12" t="str">
        <x:v>The group says it is always looking for speakers and publishes a direct email/contact route. Presenting details</x:v>
      </x:c>
      <x:c r="K29" s="12" t="str">
        <x:v>Little public popularity evidence beyond the event or route itself.</x:v>
      </x:c>
      <x:c r="L29" s="12" t="str"/>
      <x:c r="M29" s="12" t="str">
        <x:v>https://boulder-ruby.org/#presenting</x:v>
      </x:c>
    </x:row>
    <x:row r="30" ht="36" customHeight="1">
      <x:c r="A30" s="12" t="n">
        <x:v>48</x:v>
      </x:c>
      <x:c r="B30" s="15" t="n">
        <x:v>2.145</x:v>
      </x:c>
      <x:c r="C30" s="12" t="str">
        <x:v>AI Tinkerers Miami</x:v>
      </x:c>
      <x:c r="D30" s="12" t="str">
        <x:v>Miami; in person</x:v>
      </x:c>
      <x:c r="E30" s="18"/>
      <x:c r="F30" s="12" t="str">
        <x:v>Conjure Exactly Enough</x:v>
      </x:c>
      <x:c r="G30" s="12" t="n">
        <x:v>4</x:v>
      </x:c>
      <x:c r="H30" s="12" t="n">
        <x:v>5</x:v>
      </x:c>
      <x:c r="I30" s="12" t="str">
        <x:v>Adaptive, Retrieval, Benchmarks, Parallelization, and Failure as live demos</x:v>
      </x:c>
      <x:c r="J30" s="12" t="str">
        <x:v>Use the event-specific demo proposal when exposed. The 2026 kickoff requested approximately five-minute live implementations, no deck, with one architecture diagram allowed. Miami chapter · proposal example</x:v>
      </x:c>
      <x:c r="K30" s="12" t="str">
        <x:v>Public organizer/platform signal of at least 125,000 members, registrations, attendees, or reach.</x:v>
      </x:c>
      <x:c r="L30" s="12" t="str">
        <x:v>Chapter cadence, next date, current intake, acceptance timing, and travel-speaker policy.</x:v>
      </x:c>
      <x:c r="M30" s="12" t="str">
        <x:v>https://miami.aitinkerers.org/</x:v>
      </x:c>
    </x:row>
    <x:row r="31" ht="36" customHeight="1">
      <x:c r="A31" s="12" t="n">
        <x:v>49</x:v>
      </x:c>
      <x:c r="B31" s="15" t="n">
        <x:v>2.145</x:v>
      </x:c>
      <x:c r="C31" s="12" t="str">
        <x:v>DataTalks.Club</x:v>
      </x:c>
      <x:c r="D31" s="12" t="str">
        <x:v>Global remote</x:v>
      </x:c>
      <x:c r="E31" s="18"/>
      <x:c r="F31" s="12" t="str">
        <x:v>Three Search Methods in a Fundable Trenchcoat</x:v>
      </x:c>
      <x:c r="G31" s="12" t="n">
        <x:v>4</x:v>
      </x:c>
      <x:c r="H31" s="12" t="n">
        <x:v>5</x:v>
      </x:c>
      <x:c r="I31" s="12" t="str">
        <x:v>RT, BM, AS, FI, PA, JU</x:v>
      </x:c>
      <x:c r="J31" s="12" t="str">
        <x:v>Public community/contact channels; webinar, workshop and podcast formats are documented, but no standing speaker form was found</x:v>
      </x:c>
      <x:c r="K31" s="12" t="str">
        <x:v>Public organizer/platform signal of at least 94,000 members, registrations, attendees, or reach.</x:v>
      </x:c>
      <x:c r="L31" s="12" t="str">
        <x:v>Route is contact-based rather than a verified open CFP; selection, duration and compensation unknown. community, formats, GitHub community profile</x:v>
      </x:c>
      <x:c r="M31" s="12" t="str">
        <x:v>https://datatalks.club/</x:v>
      </x:c>
    </x:row>
    <x:row r="32" ht="36" customHeight="1">
      <x:c r="A32" s="12" t="n">
        <x:v>52</x:v>
      </x:c>
      <x:c r="B32" s="15" t="n">
        <x:v>2.195</x:v>
      </x:c>
      <x:c r="C32" s="12" t="str">
        <x:v>AI Friday New Orleans</x:v>
      </x:c>
      <x:c r="D32" s="12" t="str">
        <x:v>New Orleans; monthly in person</x:v>
      </x:c>
      <x:c r="E32" s="18" t="n">
        <x:v>46283.5</x:v>
      </x:c>
      <x:c r="F32" s="12" t="str">
        <x:v>A Skeptic's Guide to Surviving AI in Education</x:v>
      </x:c>
      <x:c r="G32" s="12" t="n">
        <x:v>2</x:v>
      </x:c>
      <x:c r="H32" s="12" t="n">
        <x:v>2</x:v>
      </x:c>
      <x:c r="I32" s="12" t="str">
        <x:v>Education, Product, Judgment, Free tier, and accessible versions of Adaptive or Failure</x:v>
      </x:c>
      <x:c r="J32" s="12" t="str">
        <x:v>No speaker form is published. Use the public email or community Slack listed under Get in Touch to ask about a future working-session contribution. AI Friday</x:v>
      </x:c>
      <x:c r="K32" s="12" t="str">
        <x:v>Recurring program or sponsor/history evidence is visible; no strong comparable audience count was found.</x:v>
      </x:c>
      <x:c r="L32" s="12" t="str">
        <x:v>Audience size, talk format, speaker selection, location, and whether guest presentations are part of the September meeting.</x:v>
      </x:c>
      <x:c r="M32" s="12" t="str">
        <x:v>https://aifri.day/</x:v>
      </x:c>
    </x:row>
    <x:row r="33" ht="36" customHeight="1">
      <x:c r="A33" s="12" t="n">
        <x:v>53</x:v>
      </x:c>
      <x:c r="B33" s="15" t="n">
        <x:v>2.195</x:v>
      </x:c>
      <x:c r="C33" s="12" t="str">
        <x:v>Denver Data Science Professionals (DDSP)</x:v>
      </x:c>
      <x:c r="D33" s="12" t="str">
        <x:v>Galvanize Denver; approximately bimonthly</x:v>
      </x:c>
      <x:c r="E33" s="18"/>
      <x:c r="F33" s="12" t="str">
        <x:v>Stop Looking at My Benchmarks… Get Your Own!</x:v>
      </x:c>
      <x:c r="G33" s="12" t="n">
        <x:v>2</x:v>
      </x:c>
      <x:c r="H33" s="12" t="n">
        <x:v>2</x:v>
      </x:c>
      <x:c r="I33" s="12" t="str">
        <x:v>Benchmarks, Retrieval, Adaptive, Parallelization, and Failure</x:v>
      </x:c>
      <x:c r="J33" s="12" t="str">
        <x:v>Official page invites presenters to contact organizers and publishes their contact details. Presenter route</x:v>
      </x:c>
      <x:c r="K33" s="12" t="str">
        <x:v>Recurring program or sponsor/history evidence is visible; no strong comparable audience count was found.</x:v>
      </x:c>
      <x:c r="L33" s="12" t="str"/>
      <x:c r="M33" s="12" t="str">
        <x:v>https://www.denverdatascienceprofessionals.com/</x:v>
      </x:c>
    </x:row>
    <x:row r="34" ht="36" customHeight="1">
      <x:c r="A34" s="12" t="n">
        <x:v>54</x:v>
      </x:c>
      <x:c r="B34" s="15" t="n">
        <x:v>2.195</x:v>
      </x:c>
      <x:c r="C34" s="12" t="str">
        <x:v>ProductCamp Austin</x:v>
      </x:c>
      <x:c r="D34" s="12" t="str">
        <x:v>Austin; annual in-person unconference</x:v>
      </x:c>
      <x:c r="E34" s="18" t="n">
        <x:v>46284.5</x:v>
      </x:c>
      <x:c r="F34" s="12" t="str">
        <x:v>Break the Mirror on Purpose</x:v>
      </x:c>
      <x:c r="G34" s="12" t="n">
        <x:v>2</x:v>
      </x:c>
      <x:c r="H34" s="12" t="n">
        <x:v>2</x:v>
      </x:c>
      <x:c r="I34" s="12" t="str">
        <x:v>Product, Judgment, Failure, Free tier, Education, and accessible versions of Adaptive or Benchmarks</x:v>
      </x:c>
      <x:c r="J34" s="12" t="str">
        <x:v>Public Submit a Session route. One proposal per person; sessions are thirty minutes including Q&amp;A, followed by a thirty-second pitch and attendee vote. ProductCamp Austin</x:v>
      </x:c>
      <x:c r="K34" s="12" t="str">
        <x:v>Recurring program or sponsor/history evidence is visible; no strong comparable audience count was found.</x:v>
      </x:c>
      <x:c r="L34" s="12" t="str">
        <x:v>Submission cutoff, registration capacity, remote participation, and whether non-local proposals are common.</x:v>
      </x:c>
      <x:c r="M34" s="12" t="str">
        <x:v>https://www.productcampaustin.org/</x:v>
      </x:c>
    </x:row>
    <x:row r="35" ht="36" customHeight="1">
      <x:c r="A35" s="12" t="n">
        <x:v>62</x:v>
      </x:c>
      <x:c r="B35" s="15" t="n">
        <x:v>2.33</x:v>
      </x:c>
      <x:c r="C35" s="12" t="str">
        <x:v>Tech Alley Vegas</x:v>
      </x:c>
      <x:c r="D35" s="12" t="str">
        <x:v>Downtown Las Vegas; third Saturday monthly, in person</x:v>
      </x:c>
      <x:c r="E35" s="18" t="n">
        <x:v>46284.5</x:v>
      </x:c>
      <x:c r="F35" s="12" t="str">
        <x:v>Break the Mirror on Purpose</x:v>
      </x:c>
      <x:c r="G35" s="12" t="n">
        <x:v>3</x:v>
      </x:c>
      <x:c r="H35" s="12" t="n">
        <x:v>2</x:v>
      </x:c>
      <x:c r="I35" s="12" t="str">
        <x:v>All ten, routed to the appropriate constituent meetup; strongest for Product, Free tier, Judgment, Adaptive, and Failure</x:v>
      </x:c>
      <x:c r="J35" s="12" t="str">
        <x:v>Use Tech Alley's public community/partner route or approach a listed constituent meetup for an agenda slot. It is a “meetup of meetups,” not one editorial stage. Official site · Meetup</x:v>
      </x:c>
      <x:c r="K35" s="12" t="str">
        <x:v>Public organizer/platform signal of at least 150.</x:v>
      </x:c>
      <x:c r="L35" s="12" t="str">
        <x:v>Which September track still has space, session lengths by subgroup, and whether out-of-town talks are accepted.</x:v>
      </x:c>
      <x:c r="M35" s="12" t="str">
        <x:v>https://www.techalley.org/</x:v>
      </x:c>
    </x:row>
    <x:row r="36" ht="36" customHeight="1">
      <x:c r="A36" s="12" t="n">
        <x:v>65</x:v>
      </x:c>
      <x:c r="B36" s="15" t="n">
        <x:v>2.395</x:v>
      </x:c>
      <x:c r="C36" s="12" t="str">
        <x:v>Cloud Native Sydney</x:v>
      </x:c>
      <x:c r="D36" s="12" t="str">
        <x:v>Sydney, Australia; in person/occasional virtual</x:v>
      </x:c>
      <x:c r="E36" s="18"/>
      <x:c r="F36" s="12" t="str">
        <x:v>The Pager Cried Wolf</x:v>
      </x:c>
      <x:c r="G36" s="12" t="n">
        <x:v>3</x:v>
      </x:c>
      <x:c r="H36" s="12" t="n">
        <x:v>2</x:v>
      </x:c>
      <x:c r="I36" s="12" t="str">
        <x:v>FI, AS, RT, BM, PA, technical JU</x:v>
      </x:c>
      <x:c r="J36" s="12" t="str">
        <x:v>Official event text says topic suggestions and speaker volunteers are welcome; organizer contact is public</x:v>
      </x:c>
      <x:c r="K36" s="12" t="str">
        <x:v>Recurring program or sponsor/history evidence is visible; no strong comparable audience count was found.</x:v>
      </x:c>
      <x:c r="L36" s="12" t="str">
        <x:v>No standing form, future date, member count, duration or support details were verified. official chapter event and speaker invitation</x:v>
      </x:c>
      <x:c r="M36" s="12" t="str">
        <x:v>https://community.cncf.io/events/details/cncf-cloud-native-sydney-presents-cloud-native-sydney-cncf-meetup-19th-march/</x:v>
      </x:c>
    </x:row>
    <x:row r="37" ht="36" customHeight="1">
      <x:c r="A37" s="12" t="n">
        <x:v>66</x:v>
      </x:c>
      <x:c r="B37" s="15" t="n">
        <x:v>2.395</x:v>
      </x:c>
      <x:c r="C37" s="12" t="str">
        <x:v>Colorado Startup Week</x:v>
      </x:c>
      <x:c r="D37" s="12" t="str">
        <x:v>Downtown Denver; in person, free</x:v>
      </x:c>
      <x:c r="E37" s="18" t="n">
        <x:v>46279.5</x:v>
      </x:c>
      <x:c r="F37" s="12" t="str">
        <x:v>Break the Mirror on Purpose</x:v>
      </x:c>
      <x:c r="G37" s="12" t="n">
        <x:v>3</x:v>
      </x:c>
      <x:c r="H37" s="12" t="n">
        <x:v>2</x:v>
      </x:c>
      <x:c r="I37" s="12" t="str">
        <x:v>Product, Judgment, Free tier, Education, Adaptive, and Benchmarks for founders/operators</x:v>
      </x:c>
      <x:c r="J37" s="12" t="str">
        <x:v>2026 programming is set. The official site offers independent community events, venue-host and volunteer routes, plus info@costartupweek.com; no currently open speaker form was found. Get involved</x:v>
      </x:c>
      <x:c r="K37" s="12" t="str">
        <x:v>Recurring program or sponsor/history evidence is visible; no strong comparable audience count was found.</x:v>
      </x:c>
      <x:c r="L37" s="12" t="str"/>
      <x:c r="M37" s="12" t="str">
        <x:v>https://www.costartupweek.com/get-involved</x:v>
      </x:c>
    </x:row>
    <x:row r="38" ht="36" customHeight="1">
      <x:c r="A38" s="12" t="n">
        <x:v>67</x:v>
      </x:c>
      <x:c r="B38" s="15" t="n">
        <x:v>2.395</x:v>
      </x:c>
      <x:c r="C38" s="12" t="str">
        <x:v>MLOps Community London / European chapters</x:v>
      </x:c>
      <x:c r="D38" s="12" t="str">
        <x:v>London plus Amsterdam, Munich, Edinburgh, Helsinki, Milan, Lisbon and other chapters; in person and online</x:v>
      </x:c>
      <x:c r="E38" s="18"/>
      <x:c r="F38" s="12" t="str">
        <x:v>The Pager Cried Wolf</x:v>
      </x:c>
      <x:c r="G38" s="12" t="n">
        <x:v>3</x:v>
      </x:c>
      <x:c r="H38" s="12" t="n">
        <x:v>2</x:v>
      </x:c>
      <x:c r="I38" s="12" t="str">
        <x:v>FI, AS, RT, BM, PA, technical JU</x:v>
      </x:c>
      <x:c r="J38" s="12" t="str">
        <x:v>Join the global community/Slack; speaker suggestions and chapter event contacts are public, but no universal proposal form was verified</x:v>
      </x:c>
      <x:c r="K38" s="12" t="str">
        <x:v>Recurring program or sponsor/history evidence is visible; no strong comparable audience count was found.</x:v>
      </x:c>
      <x:c r="L38" s="12" t="str">
        <x:v>Chapter-specific route, duration, selection and expenses unknown. Do not assume global membership equals local attendance. MLOps Community, official event archive, London waitlist example</x:v>
      </x:c>
      <x:c r="M38" s="12" t="str">
        <x:v>https://mlops.community/</x:v>
      </x:c>
    </x:row>
    <x:row r="39" ht="36" customHeight="1">
      <x:c r="A39" s="12" t="n">
        <x:v>71</x:v>
      </x:c>
      <x:c r="B39" s="15" t="n">
        <x:v>2.495</x:v>
      </x:c>
      <x:c r="C39" s="12" t="str">
        <x:v>Springs Data &amp; AI</x:v>
      </x:c>
      <x:c r="D39" s="12" t="str">
        <x:v>Colorado Springs; in person</x:v>
      </x:c>
      <x:c r="E39" s="18"/>
      <x:c r="F39" s="12" t="str">
        <x:v>Conjure Exactly Enough</x:v>
      </x:c>
      <x:c r="G39" s="12" t="n">
        <x:v>2</x:v>
      </x:c>
      <x:c r="H39" s="12" t="n">
        <x:v>2</x:v>
      </x:c>
      <x:c r="I39" s="12" t="str">
        <x:v>Adaptive, Retrieval, Benchmarks, Education, and general AI literacy</x:v>
      </x:c>
      <x:c r="J39" s="12" t="str">
        <x:v>Message organizers on the Meetup page; no formal speaker form found</x:v>
      </x:c>
      <x:c r="K39" s="12" t="str">
        <x:v>Public organizer/platform signal of at least 459.</x:v>
      </x:c>
      <x:c r="L39" s="12" t="str"/>
      <x:c r="M39" s="12" t="str">
        <x:v>https://www.meetup.com/springs-data-and-ai/</x:v>
      </x:c>
    </x:row>
    <x:row r="40" ht="36" customHeight="1">
      <x:c r="A40" s="12" t="n">
        <x:v>75</x:v>
      </x:c>
      <x:c r="B40" s="15" t="n">
        <x:v>2.595</x:v>
      </x:c>
      <x:c r="C40" s="12" t="str">
        <x:v>AI Tinkerers New York City</x:v>
      </x:c>
      <x:c r="D40" s="12" t="str">
        <x:v>New York City; in person</x:v>
      </x:c>
      <x:c r="E40" s="18" t="n">
        <x:v>46277.5</x:v>
      </x:c>
      <x:c r="F40" s="12" t="str">
        <x:v>Conjure Exactly Enough</x:v>
      </x:c>
      <x:c r="G40" s="12" t="n">
        <x:v>4</x:v>
      </x:c>
      <x:c r="H40" s="12" t="n">
        <x:v>2</x:v>
      </x:c>
      <x:c r="I40" s="12" t="str">
        <x:v>Adaptive, Retrieval, Benchmarks, Parallelization, and Failure as live code or a working prototype</x:v>
      </x:c>
      <x:c r="J40" s="12" t="str">
        <x:v>Register for an event, then submit its demo form if enabled. A prior official form used five-minute, no-deck demos and selected four or five presenters. Current chapter · speaker-form example</x:v>
      </x:c>
      <x:c r="K40" s="12" t="str">
        <x:v>Public organizer/platform signal of at least 302.</x:v>
      </x:c>
      <x:c r="L40" s="12" t="str">
        <x:v>The September event's speaking mechanism, demo requirements, and selection capacity.</x:v>
      </x:c>
      <x:c r="M40" s="12" t="str">
        <x:v>https://nyc.aitinkerers.org/</x:v>
      </x:c>
    </x:row>
    <x:row r="41" ht="36" customHeight="1">
      <x:c r="A41" s="12" t="n">
        <x:v>76</x:v>
      </x:c>
      <x:c r="B41" s="15" t="n">
        <x:v>2.595</x:v>
      </x:c>
      <x:c r="C41" s="12" t="str">
        <x:v>AI Tinkerers San Diego</x:v>
      </x:c>
      <x:c r="D41" s="12" t="str">
        <x:v>San Diego; in person</x:v>
      </x:c>
      <x:c r="E41" s="18" t="n">
        <x:v>46277.5</x:v>
      </x:c>
      <x:c r="F41" s="12" t="str">
        <x:v>Conjure Exactly Enough</x:v>
      </x:c>
      <x:c r="G41" s="12" t="n">
        <x:v>4</x:v>
      </x:c>
      <x:c r="H41" s="12" t="n">
        <x:v>2</x:v>
      </x:c>
      <x:c r="I41" s="12" t="str">
        <x:v>Adaptive, Retrieval, Benchmarks, Parallelization, and Failure as working demos</x:v>
      </x:c>
      <x:c r="J41" s="12" t="str">
        <x:v>Use the event-level Submit Your Demo Proposal route. Prior calls asked for five-to-seven-minute live implementation demos and deep technical Q&amp;A. Chapter · Google-hosted example</x:v>
      </x:c>
      <x:c r="K41" s="12" t="str">
        <x:v>Public organizer/platform signal of at least 219.</x:v>
      </x:c>
      <x:c r="L41" s="12" t="str">
        <x:v>Next demo-night date, current proposal form, capacity, and travel-speaker handling.</x:v>
      </x:c>
      <x:c r="M41" s="12" t="str">
        <x:v>https://san-diego.aitinkerers.org/</x:v>
      </x:c>
    </x:row>
    <x:row r="42" ht="36" customHeight="1">
      <x:c r="A42" s="12" t="n">
        <x:v>77</x:v>
      </x:c>
      <x:c r="B42" s="15" t="n">
        <x:v>2.595</x:v>
      </x:c>
      <x:c r="C42" s="12" t="str">
        <x:v>ProductTank digital and international chapters</x:v>
      </x:c>
      <x:c r="D42" s="12" t="str">
        <x:v>Digital plus 200+ cities including London, Amsterdam, Berlin, Paris, Singapore, Toronto, Sydney and Melbourne</x:v>
      </x:c>
      <x:c r="E42" s="18"/>
      <x:c r="F42" s="12" t="str">
        <x:v>Break the Mirror on Purpose</x:v>
      </x:c>
      <x:c r="G42" s="12" t="n">
        <x:v>1</x:v>
      </x:c>
      <x:c r="H42" s="12" t="n">
        <x:v>2</x:v>
      </x:c>
      <x:c r="I42" s="12" t="str">
        <x:v>PE, JU, FT; selected EL/SE variants for product-education audiences</x:v>
      </x:c>
      <x:c r="J42" s="12" t="str">
        <x:v>Standing speaker directory lets volunteer organizers find speakers for digital events</x:v>
      </x:c>
      <x:c r="K42" s="12" t="str">
        <x:v>Recurring program or sponsor/history evidence is visible; no strong comparable audience count was found.</x:v>
      </x:c>
      <x:c r="L42" s="12" t="str">
        <x:v>No guaranteed booking, edition, duration, compensation or travel support; location preferences remain unknown. network and speaker directory, speaker-directory instructions</x:v>
      </x:c>
      <x:c r="M42" s="12" t="str">
        <x:v>https://www.mindtheproduct.com/producttank/</x:v>
      </x:c>
    </x:row>
    <x:row r="43" ht="36" customHeight="1">
      <x:c r="A43" s="12" t="n">
        <x:v>82</x:v>
      </x:c>
      <x:c r="B43" s="15" t="n">
        <x:v>2.695</x:v>
      </x:c>
      <x:c r="C43" s="12" t="str">
        <x:v>The AI Exchange</x:v>
      </x:c>
      <x:c r="D43" s="12" t="str">
        <x:v>Exponential Impact, Colorado Springs; monthly, in person</x:v>
      </x:c>
      <x:c r="E43" s="18"/>
      <x:c r="F43" s="12" t="str">
        <x:v>Buy Me a Free Tier</x:v>
      </x:c>
      <x:c r="G43" s="12" t="n">
        <x:v>3</x:v>
      </x:c>
      <x:c r="H43" s="12" t="n">
        <x:v>2</x:v>
      </x:c>
      <x:c r="I43" s="12" t="str">
        <x:v>Free tier, Product, Education, Judgment, and practical small-business AI</x:v>
      </x:c>
      <x:c r="J43" s="12" t="str">
        <x:v>The program uses a one-hour guest speaker each month; use Exponential Impact’s public event/contact route. Series page</x:v>
      </x:c>
      <x:c r="K43" s="12" t="str">
        <x:v>Recurring program or sponsor/history evidence is visible; no strong comparable audience count was found.</x:v>
      </x:c>
      <x:c r="L43" s="12" t="str"/>
      <x:c r="M43" s="12" t="str">
        <x:v>https://exponentialimpact.com/events/the-ai-exchange/</x:v>
      </x:c>
    </x:row>
    <x:row r="44" ht="36" customHeight="1">
      <x:c r="A44" s="12" t="n">
        <x:v>84</x:v>
      </x:c>
      <x:c r="B44" s="15" t="n">
        <x:v>2.745</x:v>
      </x:c>
      <x:c r="C44" s="12" t="str">
        <x:v>CU Boulder ATLAS Colloquium</x:v>
      </x:c>
      <x:c r="D44" s="12" t="str">
        <x:v>CU Boulder ATLAS; usually in person plus Zoom</x:v>
      </x:c>
      <x:c r="E44" s="18"/>
      <x:c r="F44" s="12" t="str">
        <x:v>A Skeptic's Guide to Surviving AI in Education</x:v>
      </x:c>
      <x:c r="G44" s="12" t="n">
        <x:v>4</x:v>
      </x:c>
      <x:c r="H44" s="12" t="n">
        <x:v>1</x:v>
      </x:c>
      <x:c r="I44" s="12" t="str">
        <x:v>Education, Product, Judgment, Adaptive, and human-centered Retrieval</x:v>
      </x:c>
      <x:c r="J44" s="12" t="str">
        <x:v>Curated by the named faculty organizer; the series page is the public route, but no open speaker form is published</x:v>
      </x:c>
      <x:c r="K44" s="12" t="str">
        <x:v>Little public popularity evidence beyond the event or route itself.</x:v>
      </x:c>
      <x:c r="L44" s="12" t="str"/>
      <x:c r="M44" s="12" t="str">
        <x:v>https://www.colorado.edu/atlas/atlas-colloquium</x:v>
      </x:c>
    </x:row>
    <x:row r="45" ht="36" customHeight="1">
      <x:c r="A45" s="12" t="n">
        <x:v>85</x:v>
      </x:c>
      <x:c r="B45" s="15" t="n">
        <x:v>2.745</x:v>
      </x:c>
      <x:c r="C45" s="12" t="str">
        <x:v>CU Denver Data Science &amp; AI Symposium</x:v>
      </x:c>
      <x:c r="D45" s="12" t="str">
        <x:v>CU Denver Business School; in person</x:v>
      </x:c>
      <x:c r="E45" s="18"/>
      <x:c r="F45" s="12" t="str">
        <x:v>Stop Looking at My Benchmarks… Get Your Own!</x:v>
      </x:c>
      <x:c r="G45" s="12" t="n">
        <x:v>4</x:v>
      </x:c>
      <x:c r="H45" s="12" t="n">
        <x:v>1</x:v>
      </x:c>
      <x:c r="I45" s="12" t="str">
        <x:v>Benchmarks, Retrieval, Adaptive, Parallelization, Education, and Failure</x:v>
      </x:c>
      <x:c r="J45" s="12" t="str">
        <x:v>2026 call is closed; the official archive shows registration-based proposal submission for oral or poster review. Monitor the DSAI events page and 2026 symposium archive</x:v>
      </x:c>
      <x:c r="K45" s="12" t="str">
        <x:v>Little public popularity evidence beyond the event or route itself.</x:v>
      </x:c>
      <x:c r="L45" s="12" t="str"/>
      <x:c r="M45" s="12" t="str">
        <x:v>https://datascience.ucdenver.edu/events</x:v>
      </x:c>
    </x:row>
    <x:row r="46" ht="36" customHeight="1">
      <x:c r="A46" s="12" t="n">
        <x:v>86</x:v>
      </x:c>
      <x:c r="B46" s="15" t="n">
        <x:v>2.745</x:v>
      </x:c>
      <x:c r="C46" s="12" t="str">
        <x:v>Refresh Miami</x:v>
      </x:c>
      <x:c r="D46" s="12" t="str">
        <x:v>Miami; in person events plus a Luma community calendar</x:v>
      </x:c>
      <x:c r="E46" s="18"/>
      <x:c r="F46" s="12" t="str">
        <x:v>Break the Mirror on Purpose</x:v>
      </x:c>
      <x:c r="G46" s="12" t="n">
        <x:v>4</x:v>
      </x:c>
      <x:c r="H46" s="12" t="n">
        <x:v>1</x:v>
      </x:c>
      <x:c r="I46" s="12" t="str">
        <x:v>Product, Judgment, Free tier, Education, and broad AI/engineering talks</x:v>
      </x:c>
      <x:c r="J46" s="12" t="str">
        <x:v>Refresh publishes a public partnership/contact route and a Luma Submit Event calendar, but no general speaker application. Treat it as an ecosystem gateway or co-produced-event route, not a talk CFP. Resources · Luma calendar</x:v>
      </x:c>
      <x:c r="K46" s="12" t="str">
        <x:v>Little public popularity evidence beyond the event or route itself.</x:v>
      </x:c>
      <x:c r="L46" s="12" t="str">
        <x:v>Editorial speaker intake, costs or partnership terms, audience for a co-produced event, and whether independent talks are accepted.</x:v>
      </x:c>
      <x:c r="M46" s="12" t="str">
        <x:v>https://refreshmiami.com/resources/</x:v>
      </x:c>
    </x:row>
    <x:row r="47" ht="36" customHeight="1">
      <x:c r="A47" s="12" t="n">
        <x:v>91</x:v>
      </x:c>
      <x:c r="B47" s="15" t="n">
        <x:v>2.795</x:v>
      </x:c>
      <x:c r="C47" s="12" t="str">
        <x:v>AI Tinkerers San Francisco</x:v>
      </x:c>
      <x:c r="D47" s="12" t="str">
        <x:v>San Francisco; in person</x:v>
      </x:c>
      <x:c r="E47" s="18" t="n">
        <x:v>46277.5</x:v>
      </x:c>
      <x:c r="F47" s="12" t="str">
        <x:v>Conjure Exactly Enough</x:v>
      </x:c>
      <x:c r="G47" s="12" t="n">
        <x:v>5</x:v>
      </x:c>
      <x:c r="H47" s="12" t="n">
        <x:v>2</x:v>
      </x:c>
      <x:c r="I47" s="12" t="str">
        <x:v>Adaptive, Retrieval, Benchmarks, Parallelization, and Failure as live systems</x:v>
      </x:c>
      <x:c r="J47" s="12" t="str">
        <x:v>Apply through each event's demo form. Typical slots are five minutes, implementation-first, no deck, and no product pitch. Chapter · proposal example</x:v>
      </x:c>
      <x:c r="K47" s="12" t="str">
        <x:v>Public organizer/platform signal of at least 266.</x:v>
      </x:c>
      <x:c r="L47" s="12" t="str">
        <x:v>Next ordinary demo night, proposal opening, travel-speaker policy, and acceptance timing.</x:v>
      </x:c>
      <x:c r="M47" s="12" t="str">
        <x:v>https://sf.aitinkerers.org/</x:v>
      </x:c>
    </x:row>
    <x:row r="48" ht="36" customHeight="1">
      <x:c r="A48" s="12" t="n">
        <x:v>92</x:v>
      </x:c>
      <x:c r="B48" s="15" t="n">
        <x:v>2.795</x:v>
      </x:c>
      <x:c r="C48" s="12" t="str">
        <x:v>CITA 2027 Annual Conference</x:v>
      </x:c>
      <x:c r="D48" s="12" t="str">
        <x:v>Denver; in person</x:v>
      </x:c>
      <x:c r="E48" s="18" t="n">
        <x:v>46529.5</x:v>
      </x:c>
      <x:c r="F48" s="12" t="str">
        <x:v>Three Search Methods in a Fundable Trenchcoat</x:v>
      </x:c>
      <x:c r="G48" s="12" t="n">
        <x:v>5</x:v>
      </x:c>
      <x:c r="H48" s="12" t="n">
        <x:v>2</x:v>
      </x:c>
      <x:c r="I48" s="12" t="str">
        <x:v>Retrieval or Education through translation, language access, multilingual AI, and human judgment</x:v>
      </x:c>
      <x:c r="J48" s="12" t="str">
        <x:v>Public proposal form is linked from the official call; submissions are open 2026-09-01 through 2026-11-21</x:v>
      </x:c>
      <x:c r="K48" s="12" t="str">
        <x:v>Recurring program or sponsor/history evidence is visible; no strong comparable audience count was found.</x:v>
      </x:c>
      <x:c r="L48" s="12" t="str"/>
      <x:c r="M48" s="12" t="str">
        <x:v>https://citacolorado.org/events/call_proposals_conf-2027/</x:v>
      </x:c>
    </x:row>
    <x:row r="49" ht="36" customHeight="1">
      <x:c r="A49" s="12" t="n">
        <x:v>93</x:v>
      </x:c>
      <x:c r="B49" s="15" t="n">
        <x:v>2.795</x:v>
      </x:c>
      <x:c r="C49" s="12" t="str">
        <x:v>AI Tinkerers Berlin</x:v>
      </x:c>
      <x:c r="D49" s="12" t="str">
        <x:v>Berlin, Germany; in person</x:v>
      </x:c>
      <x:c r="E49" s="18"/>
      <x:c r="F49" s="12" t="str">
        <x:v>Conjure Exactly Enough</x:v>
      </x:c>
      <x:c r="G49" s="12" t="n">
        <x:v>2</x:v>
      </x:c>
      <x:c r="H49" s="12" t="n">
        <x:v>4</x:v>
      </x:c>
      <x:c r="I49" s="12" t="str">
        <x:v>AS, FI, RT, BM, PA, technical JU</x:v>
      </x:c>
      <x:c r="J49" s="12" t="str">
        <x:v>Public “Submit Your Talk Proposal” / demo route on event pages</x:v>
      </x:c>
      <x:c r="K49" s="12" t="str">
        <x:v>Public organizer/platform signal of at least 2,320.</x:v>
      </x:c>
      <x:c r="L49" s="12" t="str">
        <x:v>Proposal expects a technical walkthrough and project/company details. Future date, slot length beyond demo wording and economics unknown. Berlin event, route and stats</x:v>
      </x:c>
      <x:c r="M49" s="12" t="str">
        <x:v>https://berlin.aitinkerers.org/p/ai-tinkerers-berlin-june-17-2026</x:v>
      </x:c>
    </x:row>
    <x:row r="50" ht="36" customHeight="1">
      <x:c r="A50" s="12" t="n">
        <x:v>97</x:v>
      </x:c>
      <x:c r="B50" s="15" t="n">
        <x:v>2.845</x:v>
      </x:c>
      <x:c r="C50" s="12" t="str">
        <x:v>Denver Dev Day</x:v>
      </x:c>
      <x:c r="D50" s="12" t="str">
        <x:v>Red Rocks Community College, Lakewood; annual, in person</x:v>
      </x:c>
      <x:c r="E50" s="18"/>
      <x:c r="F50" s="12" t="str">
        <x:v>Break the Mirror on Purpose</x:v>
      </x:c>
      <x:c r="G50" s="12" t="n">
        <x:v>3</x:v>
      </x:c>
      <x:c r="H50" s="12" t="n">
        <x:v>1</x:v>
      </x:c>
      <x:c r="I50" s="12" t="str">
        <x:v>Product, Adaptive, Retrieval, Parallelization, Benchmarks, Failure, Free tier, and Judgment</x:v>
      </x:c>
      <x:c r="J50" s="12" t="str">
        <x:v>2026 CFP closed; monitor the official site and Sessionize archive. The Meetup also exposes organizer messaging.</x:v>
      </x:c>
      <x:c r="K50" s="12" t="str">
        <x:v>Little public popularity evidence beyond the event or route itself.</x:v>
      </x:c>
      <x:c r="L50" s="12" t="str"/>
      <x:c r="M50" s="12" t="str">
        <x:v>https://denverdevday.com/</x:v>
      </x:c>
    </x:row>
    <x:row r="51" ht="36" customHeight="1">
      <x:c r="A51" s="12" t="n">
        <x:v>99</x:v>
      </x:c>
      <x:c r="B51" s="15" t="n">
        <x:v>2.845</x:v>
      </x:c>
      <x:c r="C51" s="12" t="str">
        <x:v>AI Tinkerers London</x:v>
      </x:c>
      <x:c r="D51" s="12" t="str">
        <x:v>London, UK; in person</x:v>
      </x:c>
      <x:c r="E51" s="18"/>
      <x:c r="F51" s="12" t="str">
        <x:v>The Pager Cried Wolf</x:v>
      </x:c>
      <x:c r="G51" s="12" t="n">
        <x:v>3</x:v>
      </x:c>
      <x:c r="H51" s="12" t="n">
        <x:v>5</x:v>
      </x:c>
      <x:c r="I51" s="12" t="str">
        <x:v>FI, AS, RT, BM, PA; only if converted into a live technical demo</x:v>
      </x:c>
      <x:c r="J51" s="12" t="str">
        <x:v>Event-specific “Submit Your Demo Proposal”; typically five-minute, no-slide, no-pitch demos</x:v>
      </x:c>
      <x:c r="K51" s="12" t="str">
        <x:v>Public organizer/platform signal of at least 5,712 members, registrations, attendees, or reach.</x:v>
      </x:c>
      <x:c r="L51" s="12" t="str">
        <x:v>Full 15/40-minute talks do not fit without a working demo and sharp cut; future date, travel and speaker economics unknown. London community and stats, speaker-form example</x:v>
      </x:c>
      <x:c r="M51" s="12" t="str">
        <x:v>https://london.aitinkerers.org/p/ai-tinkerers-x-mongodb-demopalooza</x:v>
      </x:c>
    </x:row>
    <x:row r="52" ht="36" customHeight="1">
      <x:c r="A52" s="12" t="n">
        <x:v>100</x:v>
      </x:c>
      <x:c r="B52" s="15" t="n">
        <x:v>2.845</x:v>
      </x:c>
      <x:c r="C52" s="12" t="str">
        <x:v>AI Tinkerers Toronto</x:v>
      </x:c>
      <x:c r="D52" s="12" t="str">
        <x:v>Toronto, Canada; in person</x:v>
      </x:c>
      <x:c r="E52" s="18"/>
      <x:c r="F52" s="12" t="str">
        <x:v>The Pager Cried Wolf</x:v>
      </x:c>
      <x:c r="G52" s="12" t="n">
        <x:v>3</x:v>
      </x:c>
      <x:c r="H52" s="12" t="n">
        <x:v>5</x:v>
      </x:c>
      <x:c r="I52" s="12" t="str">
        <x:v>FI, AS, RT, BM, PA; demo-driven JU</x:v>
      </x:c>
      <x:c r="J52" s="12" t="str">
        <x:v>Event-specific “Submit Your Demo Proposal,” normally six-minute work-in-progress demo</x:v>
      </x:c>
      <x:c r="K52" s="12" t="str">
        <x:v>Public organizer/platform signal of at least 5,376 members, registrations, attendees, or reach.</x:v>
      </x:c>
      <x:c r="L52" s="12" t="str">
        <x:v>Strict short-demo format; working technical artifact required. Future date, expenses and selection lead time unknown. Toronto stats and April event, demo form example</x:v>
      </x:c>
      <x:c r="M52" s="12" t="str">
        <x:v>https://toronto.aitinkerers.org/p/ai-tinkerers-toronto-april-2026-hosted-by-shopify</x:v>
      </x:c>
    </x:row>
    <x:row r="53" ht="36" customHeight="1">
      <x:c r="A53" s="12" t="n">
        <x:v>107</x:v>
      </x:c>
      <x:c r="B53" s="15" t="n">
        <x:v>2.895</x:v>
      </x:c>
      <x:c r="C53" s="12" t="str">
        <x:v>PyData London monthly meetup</x:v>
      </x:c>
      <x:c r="D53" s="12" t="str">
        <x:v>London, UK; in person</x:v>
      </x:c>
      <x:c r="E53" s="18"/>
      <x:c r="F53" s="12" t="str">
        <x:v>Three Search Methods in a Fundable Trenchcoat</x:v>
      </x:c>
      <x:c r="G53" s="12" t="n">
        <x:v>1</x:v>
      </x:c>
      <x:c r="H53" s="12" t="n">
        <x:v>2</x:v>
      </x:c>
      <x:c r="I53" s="12" t="str">
        <x:v>RT, BM, AS, FI, PA; possibly JU with executable evidence</x:v>
      </x:c>
      <x:c r="J53" s="12" t="str">
        <x:v>Standing talk proposal/contact route; 25-minute talk plus five-minute Q&amp;A or five-minute lightning talk</x:v>
      </x:c>
      <x:c r="K53" s="12" t="str">
        <x:v>Public organizer/platform signal of at least 250.</x:v>
      </x:c>
      <x:c r="L53" s="12" t="str">
        <x:v>Python/data relevance must be concrete; strict no-product-pitch rule; speakers are unpaid and travel support is not stated. submission format, recurrence and demand</x:v>
      </x:c>
      <x:c r="M53" s="12" t="str">
        <x:v>https://london.pydata.org/submit-a-talk/</x:v>
      </x:c>
    </x:row>
    <x:row r="54" ht="36" customHeight="1">
      <x:c r="A54" s="12" t="n">
        <x:v>115</x:v>
      </x:c>
      <x:c r="B54" s="15" t="n">
        <x:v>2.945</x:v>
      </x:c>
      <x:c r="C54" s="12" t="str">
        <x:v>ACM Mile-High Video 2027</x:v>
      </x:c>
      <x:c r="D54" s="12" t="str">
        <x:v>Denver Botanic Gardens; in person</x:v>
      </x:c>
      <x:c r="E54" s="18" t="n">
        <x:v>46441.5</x:v>
      </x:c>
      <x:c r="F54" s="12" t="str">
        <x:v>Stop Looking at My Benchmarks… Get Your Own!</x:v>
      </x:c>
      <x:c r="G54" s="12" t="n">
        <x:v>5</x:v>
      </x:c>
      <x:c r="H54" s="12" t="n">
        <x:v>1</x:v>
      </x:c>
      <x:c r="I54" s="12" t="str">
        <x:v>Benchmarks is an unusually strong fit if adapted to media quality; Adaptive, Retrieval, and Failure fit only with real video/media examples</x:v>
      </x:c>
      <x:c r="J54" s="12" t="str">
        <x:v>Submit a one-page, 300+ word extended abstract through HotCRP from the official CFP by 2026-10-09 AoE</x:v>
      </x:c>
      <x:c r="K54" s="12" t="str">
        <x:v>Little public popularity evidence beyond the event or route itself.</x:v>
      </x:c>
      <x:c r="L54" s="12" t="str"/>
      <x:c r="M54" s="12" t="str">
        <x:v>https://www.mile-high.video/call-for-contributions</x:v>
      </x:c>
    </x:row>
    <x:row r="55" ht="36" customHeight="1">
      <x:c r="A55" s="12" t="n">
        <x:v>117</x:v>
      </x:c>
      <x:c r="B55" s="15" t="n">
        <x:v>2.945</x:v>
      </x:c>
      <x:c r="C55" s="12" t="str">
        <x:v>AI Tinkerers Amsterdam</x:v>
      </x:c>
      <x:c r="D55" s="12" t="str">
        <x:v>Amsterdam, Netherlands; in person</x:v>
      </x:c>
      <x:c r="E55" s="18"/>
      <x:c r="F55" s="12" t="str">
        <x:v>The Pager Cried Wolf</x:v>
      </x:c>
      <x:c r="G55" s="12" t="n">
        <x:v>2</x:v>
      </x:c>
      <x:c r="H55" s="12" t="n">
        <x:v>3</x:v>
      </x:c>
      <x:c r="I55" s="12" t="str">
        <x:v>FI, AS, RT, BM, PA</x:v>
      </x:c>
      <x:c r="J55" s="12" t="str">
        <x:v>Event-specific proposal; past pages accepted seven-minute demos and 15–20-minute technical talks</x:v>
      </x:c>
      <x:c r="K55" s="12" t="str">
        <x:v>Public organizer/platform signal of at least 880.</x:v>
      </x:c>
      <x:c r="L55" s="12" t="str">
        <x:v>Current future form was not open when checked; each edition sets its own format. Economics and 2027 dates unknown. Amsterdam event, route and stats, future-proposal status example</x:v>
      </x:c>
      <x:c r="M55" s="12" t="str">
        <x:v>https://amsterdam.aitinkerers.org/p/ai-tinkerers-amsterdam-x-motherduck-may-demo-night</x:v>
      </x:c>
    </x:row>
    <x:row r="56" ht="36" customHeight="1">
      <x:c r="A56" s="12" t="n">
        <x:v>122</x:v>
      </x:c>
      <x:c r="B56" s="15" t="n">
        <x:v>2.995</x:v>
      </x:c>
      <x:c r="C56" s="12" t="str">
        <x:v>AI Tinkerers Paris</x:v>
      </x:c>
      <x:c r="D56" s="12" t="str">
        <x:v>Paris, France; in person</x:v>
      </x:c>
      <x:c r="E56" s="18"/>
      <x:c r="F56" s="12" t="str">
        <x:v>The Pager Cried Wolf</x:v>
      </x:c>
      <x:c r="G56" s="12" t="n">
        <x:v>3</x:v>
      </x:c>
      <x:c r="H56" s="12" t="n">
        <x:v>4</x:v>
      </x:c>
      <x:c r="I56" s="12" t="str">
        <x:v>FI, AS, RT, BM, PA as five-minute demos</x:v>
      </x:c>
      <x:c r="J56" s="12" t="str">
        <x:v>Event-specific technical-demo proposal and organizer contact</x:v>
      </x:c>
      <x:c r="K56" s="12" t="str">
        <x:v>Public organizer/platform signal of at least 4,263.</x:v>
      </x:c>
      <x:c r="L56" s="12" t="str">
        <x:v>Requires code, architecture or a live pipeline; no slide-only talk. Future calendar, language expectation and economics unknown. Paris route, format and stats</x:v>
      </x:c>
      <x:c r="M56" s="12" t="str">
        <x:v>https://paris.aitinkerers.org/p/docker-raise</x:v>
      </x:c>
    </x:row>
    <x:row r="57" ht="36" customHeight="1">
      <x:c r="A57" s="12" t="n">
        <x:v>123</x:v>
      </x:c>
      <x:c r="B57" s="15" t="n">
        <x:v>2.995</x:v>
      </x:c>
      <x:c r="C57" s="12" t="str">
        <x:v>AI Tinkerers Singapore</x:v>
      </x:c>
      <x:c r="D57" s="12" t="str">
        <x:v>Singapore; in person</x:v>
      </x:c>
      <x:c r="E57" s="18"/>
      <x:c r="F57" s="12" t="str">
        <x:v>The Pager Cried Wolf</x:v>
      </x:c>
      <x:c r="G57" s="12" t="n">
        <x:v>3</x:v>
      </x:c>
      <x:c r="H57" s="12" t="n">
        <x:v>4</x:v>
      </x:c>
      <x:c r="I57" s="12" t="str">
        <x:v>FI, AS, RT, BM, PA, technical FT</x:v>
      </x:c>
      <x:c r="J57" s="12" t="str">
        <x:v>Event-specific live-demo proposal</x:v>
      </x:c>
      <x:c r="K57" s="12" t="str">
        <x:v>Public organizer/platform signal of at least 1,519.</x:v>
      </x:c>
      <x:c r="L57" s="12" t="str">
        <x:v>Five-to-seven-minute live demo, active-project proof and screened attendance; no slide-only talk. Future calendar and speaker support unknown. Singapore route, format and stats</x:v>
      </x:c>
      <x:c r="M57" s="12" t="str">
        <x:v>https://singapore.aitinkerers.org/p/ai-tinkerers-x-elevenlabs-side-quests-demo-night</x:v>
      </x:c>
    </x:row>
    <x:row r="58" ht="36" customHeight="1">
      <x:c r="A58" s="12" t="n">
        <x:v>127</x:v>
      </x:c>
      <x:c r="B58" s="15" t="n">
        <x:v>3.095</x:v>
      </x:c>
      <x:c r="C58" s="12" t="str">
        <x:v>fintech_devcon 2027</x:v>
      </x:c>
      <x:c r="D58" s="12" t="str">
        <x:v>Boulder; in person</x:v>
      </x:c>
      <x:c r="E58" s="18" t="n">
        <x:v>46601.5</x:v>
      </x:c>
      <x:c r="F58" s="12" t="str">
        <x:v>Break the Mirror on Purpose</x:v>
      </x:c>
      <x:c r="G58" s="12" t="n">
        <x:v>5</x:v>
      </x:c>
      <x:c r="H58" s="12" t="n">
        <x:v>2</x:v>
      </x:c>
      <x:c r="I58" s="12" t="str">
        <x:v>Product, Judgment, Adaptive, Benchmarks, Retrieval, Failure, and Parallelization—only with a real fintech roadblock</x:v>
      </x:c>
      <x:c r="J58" s="12" t="str">
        <x:v>Official speaker form closes 2027-03-01 at 11:59 p.m. PST</x:v>
      </x:c>
      <x:c r="K58" s="12" t="str">
        <x:v>Recurring program or sponsor/history evidence is visible; no strong comparable audience count was found.</x:v>
      </x:c>
      <x:c r="L58" s="12" t="str"/>
      <x:c r="M58" s="12" t="str">
        <x:v>https://fintechdevcon.io/call-for-speakers/</x:v>
      </x:c>
    </x:row>
    <x:row r="59" ht="36" customHeight="1">
      <x:c r="A59" s="12" t="n">
        <x:v>128</x:v>
      </x:c>
      <x:c r="B59" s="15" t="n">
        <x:v>3.095</x:v>
      </x:c>
      <x:c r="C59" s="12" t="str">
        <x:v>Cloud Native Amsterdam</x:v>
      </x:c>
      <x:c r="D59" s="12" t="str">
        <x:v>Amsterdam, Netherlands; in person</x:v>
      </x:c>
      <x:c r="E59" s="18"/>
      <x:c r="F59" s="12" t="str">
        <x:v>The Pager Cried Wolf</x:v>
      </x:c>
      <x:c r="G59" s="12" t="n">
        <x:v>2</x:v>
      </x:c>
      <x:c r="H59" s="12" t="n">
        <x:v>2</x:v>
      </x:c>
      <x:c r="I59" s="12" t="str">
        <x:v>FI, AS, RT, BM, PA, technical FT</x:v>
      </x:c>
      <x:c r="J59" s="12" t="str">
        <x:v>Official chapter publishes a direct talk-proposal email and organizer contact form</x:v>
      </x:c>
      <x:c r="K59" s="12" t="str">
        <x:v>Public organizer/platform signal of at least 413.</x:v>
      </x:c>
      <x:c r="L59" s="12" t="str">
        <x:v>Format, language, economics and future dates unknown. Email outreach was not performed. official chapter and proposal route</x:v>
      </x:c>
      <x:c r="M59" s="12" t="str">
        <x:v>https://community.cncf.io/cloud-native-amsterdam/</x:v>
      </x:c>
    </x:row>
    <x:row r="60" ht="36" customHeight="1">
      <x:c r="A60" s="12" t="n">
        <x:v>129</x:v>
      </x:c>
      <x:c r="B60" s="15" t="n">
        <x:v>3.095</x:v>
      </x:c>
      <x:c r="C60" s="12" t="str">
        <x:v>Cloud Native Berlin</x:v>
      </x:c>
      <x:c r="D60" s="12" t="str">
        <x:v>Berlin, Germany; in person</x:v>
      </x:c>
      <x:c r="E60" s="18"/>
      <x:c r="F60" s="12" t="str">
        <x:v>The Pager Cried Wolf</x:v>
      </x:c>
      <x:c r="G60" s="12" t="n">
        <x:v>2</x:v>
      </x:c>
      <x:c r="H60" s="12" t="n">
        <x:v>2</x:v>
      </x:c>
      <x:c r="I60" s="12" t="str">
        <x:v>FI, AS, RT, BM, PA, technical FT</x:v>
      </x:c>
      <x:c r="J60" s="12" t="str">
        <x:v>Public topic-proposal form linked from official CNCF event pages</x:v>
      </x:c>
      <x:c r="K60" s="12" t="str">
        <x:v>Recurring program or sponsor/history evidence is visible; no strong comparable audience count was found.</x:v>
      </x:c>
      <x:c r="L60" s="12" t="str">
        <x:v>Current proposal-form status, language, duration and economics need recheck. official event and proposal link, CNCF community activity rules</x:v>
      </x:c>
      <x:c r="M60" s="12" t="str">
        <x:v>https://community.cncf.io/events/details/cncf-cloud-native-berlin-presents-kubernetes-amp-cloud-native-berlin-meetup-pre-kubecon-special/</x:v>
      </x:c>
    </x:row>
    <x:row r="61" ht="36" customHeight="1">
      <x:c r="A61" s="12" t="n">
        <x:v>136</x:v>
      </x:c>
      <x:c r="B61" s="15" t="n">
        <x:v>3.295</x:v>
      </x:c>
      <x:c r="C61" s="12" t="str">
        <x:v>AI Builders SG recurring jam</x:v>
      </x:c>
      <x:c r="D61" s="12" t="str">
        <x:v>Singapore; in person</x:v>
      </x:c>
      <x:c r="E61" s="18"/>
      <x:c r="F61" s="12" t="str">
        <x:v>Conjure Exactly Enough</x:v>
      </x:c>
      <x:c r="G61" s="12" t="n">
        <x:v>3</x:v>
      </x:c>
      <x:c r="H61" s="12" t="n">
        <x:v>2</x:v>
      </x:c>
      <x:c r="I61" s="12" t="str">
        <x:v>AS, RT, PA, FI; project-based FT</x:v>
      </x:c>
      <x:c r="J61" s="12" t="str">
        <x:v>Luma page explicitly invites presenters to send a project link through Contact the Host</x:v>
      </x:c>
      <x:c r="K61" s="12" t="str">
        <x:v>Recurring program or sponsor/history evidence is visible; no strong comparable audience count was found.</x:v>
      </x:c>
      <x:c r="L61" s="12" t="str">
        <x:v>Requires a project/showcase rather than a finished keynote; future dates, talk length, selection and support unknown. first-party Luma event</x:v>
      </x:c>
      <x:c r="M61" s="12" t="str">
        <x:v>https://luma.com/9pbbv5ja</x:v>
      </x:c>
    </x:row>
    <x:row r="62" ht="36" customHeight="1">
      <x:c r="A62" s="13" t="n">
        <x:v>154</x:v>
      </x:c>
      <x:c r="B62" s="16" t="n">
        <x:v>3.495</x:v>
      </x:c>
      <x:c r="C62" s="13" t="str">
        <x:v>Lorong AI calendar</x:v>
      </x:c>
      <x:c r="D62" s="13" t="str">
        <x:v>Singapore; in person at One-North and Cross Street</x:v>
      </x:c>
      <x:c r="E62" s="19"/>
      <x:c r="F62" s="13" t="str">
        <x:v>The Pager Cried Wolf</x:v>
      </x:c>
      <x:c r="G62" s="13" t="n">
        <x:v>4</x:v>
      </x:c>
      <x:c r="H62" s="13" t="n">
        <x:v>2</x:v>
      </x:c>
      <x:c r="I62" s="13" t="str">
        <x:v>FI, AS, RT, BM, PA, JU</x:v>
      </x:c>
      <x:c r="J62" s="13" t="str">
        <x:v>Luma calendar has a public Submit Event route; individual talk acceptance is organizer-curated</x:v>
      </x:c>
      <x:c r="K62" s="13" t="str">
        <x:v>Recurring program or sponsor/history evidence is visible; no strong comparable audience count was found.</x:v>
      </x:c>
      <x:c r="L62" s="13" t="str">
        <x:v>Submit Event is not a guaranteed speaker CFP; audience size, selection rules, duration and economics unknown. Luma calendar, community site</x:v>
      </x:c>
      <x:c r="M62" s="13" t="str">
        <x:v>https://luma.com/lorong-ai</x:v>
      </x:c>
    </x:row>
  </x:sheetData>
  <x:pageMargins left="0.7" right="0.7" top="0.75" bottom="0.75" header="0.3" footer="0.3"/>
  <x:tableParts count="1">
    <x:tablePart xmlns:r="http://schemas.openxmlformats.org/officeDocument/2006/relationships" r:id="R7985482b704449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28" hidden="0" customWidth="1"/>
    <x:col min="7" max="7" width="30" hidden="0" customWidth="1"/>
    <x:col min="8" max="8" width="20" hidden="0" customWidth="1"/>
    <x:col min="9" max="9" width="32" hidden="0" customWidth="1"/>
    <x:col min="10" max="10" width="30" hidden="0" customWidth="1"/>
    <x:col min="11" max="11" width="42" hidden="0" customWidth="1"/>
    <x:col min="12" max="12" width="44" hidden="0" customWidth="1"/>
  </x:cols>
  <x:sheetData>
    <x:row r="1">
      <x:c r="A1" s="1" t="str">
        <x:v>Confirmed deadline calendar</x:v>
      </x:c>
    </x:row>
    <x:row r="2">
      <x:c r="A2" s="2" t="str">
        <x:v>Historical and estimated windows remain outside this sheet. Conflicting official dates retain their notes.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25.5" customHeight="1">
      <x:c r="A4" s="7" t="str">
        <x:v>Date</x:v>
      </x:c>
      <x:c r="B4" s="7" t="str">
        <x:v>Local time</x:v>
      </x:c>
      <x:c r="C4" s="7" t="str">
        <x:v>Time zone</x:v>
      </x:c>
      <x:c r="D4" s="7" t="str">
        <x:v>Type</x:v>
      </x:c>
      <x:c r="E4" s="7" t="str">
        <x:v>Certainty</x:v>
      </x:c>
      <x:c r="F4" s="7" t="str">
        <x:v>Event</x:v>
      </x:c>
      <x:c r="G4" s="7" t="str">
        <x:v>Edition</x:v>
      </x:c>
      <x:c r="H4" s="7" t="str">
        <x:v>CFP status</x:v>
      </x:c>
      <x:c r="I4" s="7" t="str">
        <x:v>Talks</x:v>
      </x:c>
      <x:c r="J4" s="7" t="str">
        <x:v>Raw source text</x:v>
      </x:c>
      <x:c r="K4" s="7" t="str">
        <x:v>Conflict notes</x:v>
      </x:c>
      <x:c r="L4" s="7" t="str">
        <x:v>Source</x:v>
      </x:c>
    </x:row>
    <x:row r="5">
      <x:c r="A5" s="17" t="n">
        <x:v>46271.5</x:v>
      </x:c>
      <x:c r="B5" s="11" t="str"/>
      <x:c r="C5" s="11" t="str"/>
      <x:c r="D5" s="11" t="str">
        <x:v>cfp</x:v>
      </x:c>
      <x:c r="E5" s="11" t="str">
        <x:v>confirmed</x:v>
      </x:c>
      <x:c r="F5" s="11" t="str">
        <x:v>STAREAST</x:v>
      </x:c>
      <x:c r="G5" s="11" t="str">
        <x:v>STAREAST 2027</x:v>
      </x:c>
      <x:c r="H5" s="11" t="str">
        <x:v>open</x:v>
      </x:c>
      <x:c r="I5" s="11" t="str">
        <x:v>benchmarks</x:v>
      </x:c>
      <x:c r="J5" s="11" t="str">
        <x:v>September 6, 2026</x:v>
      </x:c>
      <x:c r="K5" s="11" t="str"/>
      <x:c r="L5" s="11" t="str">
        <x:v>https://stareast.techwell.com/speaker-submission-form-stareast-2027</x:v>
      </x:c>
    </x:row>
    <x:row r="6">
      <x:c r="A6" s="18" t="n">
        <x:v>46274.5</x:v>
      </x:c>
      <x:c r="B6" s="12" t="str"/>
      <x:c r="C6" s="12" t="str"/>
      <x:c r="D6" s="12" t="str">
        <x:v>cfp</x:v>
      </x:c>
      <x:c r="E6" s="12" t="str">
        <x:v>confirmed</x:v>
      </x:c>
      <x:c r="F6" s="12" t="str">
        <x:v>AI Agent Event</x:v>
      </x:c>
      <x:c r="G6" s="12" t="str">
        <x:v>AI Agent Event 2027</x:v>
      </x:c>
      <x:c r="H6" s="12" t="str">
        <x:v>open</x:v>
      </x:c>
      <x:c r="I6" s="12" t="str">
        <x:v>adaptive-systems;benchmarks;retrieval</x:v>
      </x:c>
      <x:c r="J6" s="12" t="str">
        <x:v>September 9</x:v>
      </x:c>
      <x:c r="K6" s="12" t="str">
        <x:v>Year supplied by the 2027 edition context; time and zone absent</x:v>
      </x:c>
      <x:c r="L6" s="12" t="str">
        <x:v>https://www.aiagentevent.com/east/call-for-speakers.aspx</x:v>
      </x:c>
    </x:row>
    <x:row r="7">
      <x:c r="A7" s="18" t="n">
        <x:v>46274.5</x:v>
      </x:c>
      <x:c r="B7" s="12" t="str"/>
      <x:c r="C7" s="12" t="str"/>
      <x:c r="D7" s="12" t="str">
        <x:v>cfp_close</x:v>
      </x:c>
      <x:c r="E7" s="12" t="str">
        <x:v>exact</x:v>
      </x:c>
      <x:c r="F7" s="12" t="str">
        <x:v>AI Agent Event</x:v>
      </x:c>
      <x:c r="G7" s="12" t="str">
        <x:v>AI Agent Event 2027</x:v>
      </x:c>
      <x:c r="H7" s="12" t="str">
        <x:v>open</x:v>
      </x:c>
      <x:c r="I7" s="12" t="str">
        <x:v>adaptive-systems;benchmarks;retrieval</x:v>
      </x:c>
      <x:c r="J7" s="12" t="str">
        <x:v>Final Submission Deadline: September 9</x:v>
      </x:c>
      <x:c r="K7" s="12" t="str">
        <x:v>Year is established by the page's 2027 edition context; no time or time zone stated.</x:v>
      </x:c>
      <x:c r="L7" s="12" t="str">
        <x:v>https://www.aiagentevent.com/east/call-for-speakers.aspx</x:v>
      </x:c>
    </x:row>
    <x:row r="8">
      <x:c r="A8" s="18" t="n">
        <x:v>46274.5</x:v>
      </x:c>
      <x:c r="B8" s="12" t="str"/>
      <x:c r="C8" s="12" t="str"/>
      <x:c r="D8" s="12" t="str">
        <x:v>cfp_close</x:v>
      </x:c>
      <x:c r="E8" s="12" t="str">
        <x:v>exact-from-edition-context</x:v>
      </x:c>
      <x:c r="F8" s="12" t="str">
        <x:v>AI Agent Event</x:v>
      </x:c>
      <x:c r="G8" s="12" t="str">
        <x:v>AI Agent Event 2027</x:v>
      </x:c>
      <x:c r="H8" s="12" t="str">
        <x:v>open</x:v>
      </x:c>
      <x:c r="I8" s="12" t="str">
        <x:v>adaptive-systems;benchmarks;retrieval</x:v>
      </x:c>
      <x:c r="J8" s="12" t="str">
        <x:v>Final Submission Deadline: September 9</x:v>
      </x:c>
      <x:c r="K8" s="12" t="str">
        <x:v>Year derived from the open 2027 CFP viewed in September 2026; no time zone stated</x:v>
      </x:c>
      <x:c r="L8" s="12" t="str">
        <x:v>https://www.aiagentevent.com/east/call-for-speakers.aspx</x:v>
      </x:c>
    </x:row>
    <x:row r="9">
      <x:c r="A9" s="18" t="n">
        <x:v>46274.5</x:v>
      </x:c>
      <x:c r="B9" s="12" t="str">
        <x:v>23:59</x:v>
      </x:c>
      <x:c r="C9" s="12" t="str">
        <x:v>PT</x:v>
      </x:c>
      <x:c r="D9" s="12" t="str">
        <x:v>cfp_deadline</x:v>
      </x:c>
      <x:c r="E9" s="12" t="str">
        <x:v>confirmed</x:v>
      </x:c>
      <x:c r="F9" s="12" t="str">
        <x:v>CES</x:v>
      </x:c>
      <x:c r="G9" s="12" t="str">
        <x:v>CES 2027</x:v>
      </x:c>
      <x:c r="H9" s="12" t="str">
        <x:v>open</x:v>
      </x:c>
      <x:c r="I9" s="12" t="str">
        <x:v>judgment;product-engineering</x:v>
      </x:c>
      <x:c r="J9" s="12" t="str">
        <x:v>Wednesday, September 9, 2026 at 11:59 PM PT</x:v>
      </x:c>
      <x:c r="K9" s="12" t="str">
        <x:v>Source does not distinguish PDT/PST; UTC not normalized.</x:v>
      </x:c>
      <x:c r="L9" s="12" t="str">
        <x:v>https://www.ces.tech/cfs</x:v>
      </x:c>
    </x:row>
    <x:row r="10">
      <x:c r="A10" s="18" t="n">
        <x:v>46276.5</x:v>
      </x:c>
      <x:c r="B10" s="12" t="str"/>
      <x:c r="C10" s="12" t="str"/>
      <x:c r="D10" s="12" t="str">
        <x:v>cfp_deadline</x:v>
      </x:c>
      <x:c r="E10" s="12" t="str">
        <x:v>exact</x:v>
      </x:c>
      <x:c r="F10" s="12" t="str">
        <x:v>CHEA Annual Conference</x:v>
      </x:c>
      <x:c r="G10" s="12" t="str">
        <x:v>CHEA 2027 Annual Conference</x:v>
      </x:c>
      <x:c r="H10" s="12" t="str">
        <x:v>open</x:v>
      </x:c>
      <x:c r="I10" s="12" t="str">
        <x:v>evidence-learning;skeptic-education</x:v>
      </x:c>
      <x:c r="J10" s="12" t="str">
        <x:v>September 11, 2026</x:v>
      </x:c>
      <x:c r="K10" s="12" t="str"/>
      <x:c r="L10" s="12" t="str">
        <x:v>https://www.chea.org/chea-2027-annual-conference-call-proposals</x:v>
      </x:c>
    </x:row>
    <x:row r="11">
      <x:c r="A11" s="18" t="n">
        <x:v>46276.5</x:v>
      </x:c>
      <x:c r="B11" s="12" t="str"/>
      <x:c r="C11" s="12" t="str"/>
      <x:c r="D11" s="12" t="str">
        <x:v>cfp_deadline</x:v>
      </x:c>
      <x:c r="E11" s="12" t="str">
        <x:v>exact</x:v>
      </x:c>
      <x:c r="F11" s="12" t="str">
        <x:v>CHEA Annual Conference</x:v>
      </x:c>
      <x:c r="G11" s="12" t="str">
        <x:v>CHEA 2027 Annual Conference</x:v>
      </x:c>
      <x:c r="H11" s="12" t="str">
        <x:v>open</x:v>
      </x:c>
      <x:c r="I11" s="12" t="str">
        <x:v>evidence-learning;skeptic-education</x:v>
      </x:c>
      <x:c r="J11" s="12" t="str">
        <x:v>by September 11, 2026</x:v>
      </x:c>
      <x:c r="K11" s="12" t="str">
        <x:v>Late proposals may be considered if space remains, but this does not make the route rolling</x:v>
      </x:c>
      <x:c r="L11" s="12" t="str">
        <x:v>https://www.chea.org/chea-2027-annual-conference-call-proposals</x:v>
      </x:c>
    </x:row>
    <x:row r="12">
      <x:c r="A12" s="18" t="n">
        <x:v>46279.5</x:v>
      </x:c>
      <x:c r="B12" s="12" t="str"/>
      <x:c r="C12" s="12" t="str"/>
      <x:c r="D12" s="12" t="str">
        <x:v>cfp_close</x:v>
      </x:c>
      <x:c r="E12" s="12" t="str">
        <x:v>exact</x:v>
      </x:c>
      <x:c r="F12" s="12" t="str">
        <x:v>JavaLand</x:v>
      </x:c>
      <x:c r="G12" s="12" t="str">
        <x:v>JavaLand 2027</x:v>
      </x:c>
      <x:c r="H12" s="12" t="str">
        <x:v>open</x:v>
      </x:c>
      <x:c r="I12" s="12" t="str">
        <x:v>adaptive-systems</x:v>
      </x:c>
      <x:c r="J12" s="12" t="str">
        <x:v>Call for Papers is open until September 14, 2026</x:v>
      </x:c>
      <x:c r="K12" s="12" t="str"/>
      <x:c r="L12" s="12" t="str">
        <x:v>https://www.javaland.eu/en/home/</x:v>
      </x:c>
    </x:row>
    <x:row r="13">
      <x:c r="A13" s="18" t="n">
        <x:v>46280.5</x:v>
      </x:c>
      <x:c r="B13" s="12" t="str"/>
      <x:c r="C13" s="12" t="str"/>
      <x:c r="D13" s="12" t="str">
        <x:v>cfp_open</x:v>
      </x:c>
      <x:c r="E13" s="12" t="str">
        <x:v>exact</x:v>
      </x:c>
      <x:c r="F13" s="12" t="str">
        <x:v>OLC Innovate</x:v>
      </x:c>
      <x:c r="G13" s="12" t="str">
        <x:v>OLC Innovate 2027</x:v>
      </x:c>
      <x:c r="H13" s="12" t="str">
        <x:v>announced-not-open</x:v>
      </x:c>
      <x:c r="I13" s="12" t="str">
        <x:v>evidence-learning;skeptic-education</x:v>
      </x:c>
      <x:c r="J13" s="12" t="str">
        <x:v>September 15, 2026</x:v>
      </x:c>
      <x:c r="K13" s="12" t="str"/>
      <x:c r="L13" s="12" t="str">
        <x:v>https://onlinelearningconsortium.org/conferences/olc-innovate2027/present/</x:v>
      </x:c>
    </x:row>
    <x:row r="14">
      <x:c r="A14" s="18" t="n">
        <x:v>46280.5</x:v>
      </x:c>
      <x:c r="B14" s="12" t="str"/>
      <x:c r="C14" s="12" t="str"/>
      <x:c r="D14" s="12" t="str">
        <x:v>cfp_open</x:v>
      </x:c>
      <x:c r="E14" s="12" t="str">
        <x:v>exact</x:v>
      </x:c>
      <x:c r="F14" s="12" t="str">
        <x:v>OLC Innovate</x:v>
      </x:c>
      <x:c r="G14" s="12" t="str">
        <x:v>OLC Innovate 2027</x:v>
      </x:c>
      <x:c r="H14" s="12" t="str">
        <x:v>announced-not-open</x:v>
      </x:c>
      <x:c r="I14" s="12" t="str">
        <x:v>evidence-learning;skeptic-education</x:v>
      </x:c>
      <x:c r="J14" s="12" t="str">
        <x:v>September 15, 2026: Call for Proposals opens</x:v>
      </x:c>
      <x:c r="K14" s="12" t="str"/>
      <x:c r="L14" s="12" t="str">
        <x:v>https://onlinelearningconsortium.org/conferences/olc-innovate2027/present/</x:v>
      </x:c>
    </x:row>
    <x:row r="15">
      <x:c r="A15" s="18" t="n">
        <x:v>46283.5</x:v>
      </x:c>
      <x:c r="B15" s="12" t="str"/>
      <x:c r="C15" s="12" t="str"/>
      <x:c r="D15" s="12" t="str">
        <x:v>cfp_close</x:v>
      </x:c>
      <x:c r="E15" s="12" t="str">
        <x:v>exact</x:v>
      </x:c>
      <x:c r="F15" s="12" t="str">
        <x:v>DeveloperWeek</x:v>
      </x:c>
      <x:c r="G15" s="12" t="str">
        <x:v>DeveloperWeek 2027</x:v>
      </x:c>
      <x:c r="H15" s="12" t="str">
        <x:v>open</x:v>
      </x:c>
      <x:c r="I15" s="12" t="str">
        <x:v>failure-improvement;free-tier;parallelization;retrieval</x:v>
      </x:c>
      <x:c r="J15" s="12" t="str">
        <x:v>Final Round proposal deadline is Friday, September 18, 2026</x:v>
      </x:c>
      <x:c r="K15" s="12" t="str"/>
      <x:c r="L15" s="12" t="str">
        <x:v>https://www.developerweek.com/speakers/apply-to-speak/</x:v>
      </x:c>
    </x:row>
    <x:row r="16">
      <x:c r="A16" s="18" t="n">
        <x:v>46283.5</x:v>
      </x:c>
      <x:c r="B16" s="12" t="str"/>
      <x:c r="C16" s="12" t="str"/>
      <x:c r="D16" s="12" t="str">
        <x:v>cfp_deadline</x:v>
      </x:c>
      <x:c r="E16" s="12" t="str">
        <x:v>confirmed</x:v>
      </x:c>
      <x:c r="F16" s="12" t="str">
        <x:v>DeveloperWeek</x:v>
      </x:c>
      <x:c r="G16" s="12" t="str">
        <x:v>DeveloperWeek 2027</x:v>
      </x:c>
      <x:c r="H16" s="12" t="str">
        <x:v>open</x:v>
      </x:c>
      <x:c r="I16" s="12" t="str">
        <x:v>failure-improvement;free-tier;parallelization;retrieval</x:v>
      </x:c>
      <x:c r="J16" s="12" t="str">
        <x:v>September 18, 2026</x:v>
      </x:c>
      <x:c r="K16" s="12" t="str">
        <x:v>No time or timezone stated.</x:v>
      </x:c>
      <x:c r="L16" s="12" t="str">
        <x:v>https://www.developerweek.com/speakers/apply-to-speak/</x:v>
      </x:c>
    </x:row>
    <x:row r="17">
      <x:c r="A17" s="18" t="n">
        <x:v>46283.5</x:v>
      </x:c>
      <x:c r="B17" s="12" t="str"/>
      <x:c r="C17" s="12" t="str"/>
      <x:c r="D17" s="12" t="str">
        <x:v>cfp_deadline</x:v>
      </x:c>
      <x:c r="E17" s="12" t="str">
        <x:v>exact</x:v>
      </x:c>
      <x:c r="F17" s="12" t="str">
        <x:v>ICAI Annual Conference</x:v>
      </x:c>
      <x:c r="G17" s="12" t="str">
        <x:v>ICAI 2027 Annual Conference</x:v>
      </x:c>
      <x:c r="H17" s="12" t="str">
        <x:v>open</x:v>
      </x:c>
      <x:c r="I17" s="12" t="str">
        <x:v>evidence-learning</x:v>
      </x:c>
      <x:c r="J17" s="12" t="str">
        <x:v>September 18, 2026</x:v>
      </x:c>
      <x:c r="K17" s="12" t="str"/>
      <x:c r="L17" s="12" t="str">
        <x:v>https://academicintegrity.org/aws/ICAI/pt/sp/conference_cfp</x:v>
      </x:c>
    </x:row>
    <x:row r="18">
      <x:c r="A18" s="18" t="n">
        <x:v>46283.5</x:v>
      </x:c>
      <x:c r="B18" s="12" t="str">
        <x:v>23:59</x:v>
      </x:c>
      <x:c r="C18" s="12" t="str">
        <x:v>Pacific Daylight Time (UTC-07:00)</x:v>
      </x:c>
      <x:c r="D18" s="12" t="str">
        <x:v>cfp_deadline</x:v>
      </x:c>
      <x:c r="E18" s="12" t="str">
        <x:v>confirmed</x:v>
      </x:c>
      <x:c r="F18" s="12" t="str">
        <x:v>ProductWorld</x:v>
      </x:c>
      <x:c r="G18" s="12" t="str">
        <x:v>ProductWorld 2027</x:v>
      </x:c>
      <x:c r="H18" s="12" t="str">
        <x:v>open</x:v>
      </x:c>
      <x:c r="I18" s="12" t="str">
        <x:v>judgment;product-engineering</x:v>
      </x:c>
      <x:c r="J18" s="12" t="str">
        <x:v>18 Sep 2026, 11:59 PM Pacific Daylight Time (UTC-07:00)</x:v>
      </x:c>
      <x:c r="K18" s="12" t="str"/>
      <x:c r="L18" s="12" t="str">
        <x:v>https://sessionize.com/productworld-2027/</x:v>
      </x:c>
    </x:row>
    <x:row r="19">
      <x:c r="A19" s="18" t="n">
        <x:v>46286.5</x:v>
      </x:c>
      <x:c r="B19" s="12" t="str"/>
      <x:c r="C19" s="12" t="str"/>
      <x:c r="D19" s="12" t="str">
        <x:v>cfp_open</x:v>
      </x:c>
      <x:c r="E19" s="12" t="str">
        <x:v>exact</x:v>
      </x:c>
      <x:c r="F19" s="12" t="str">
        <x:v>LILAC</x:v>
      </x:c>
      <x:c r="G19" s="12" t="str">
        <x:v>LILAC 2027</x:v>
      </x:c>
      <x:c r="H19" s="12" t="str">
        <x:v>announced-not-open</x:v>
      </x:c>
      <x:c r="I19" s="12" t="str">
        <x:v>evidence-learning</x:v>
      </x:c>
      <x:c r="J19" s="12" t="str">
        <x:v>21 September 2026</x:v>
      </x:c>
      <x:c r="K19" s="12" t="str"/>
      <x:c r="L19" s="12" t="str">
        <x:v>https://www.lilacconference.com/lilac-2027/call-for-presentations-1</x:v>
      </x:c>
    </x:row>
    <x:row r="20">
      <x:c r="A20" s="18" t="n">
        <x:v>46286.5</x:v>
      </x:c>
      <x:c r="B20" s="12" t="str">
        <x:v>23:59</x:v>
      </x:c>
      <x:c r="C20" s="12" t="str">
        <x:v>Eastern</x:v>
      </x:c>
      <x:c r="D20" s="12" t="str">
        <x:v>cfp_deadline</x:v>
      </x:c>
      <x:c r="E20" s="12" t="str">
        <x:v>exact</x:v>
      </x:c>
      <x:c r="F20" s="12" t="str">
        <x:v>ALA Annual Conference and Exhibition</x:v>
      </x:c>
      <x:c r="G20" s="12" t="str">
        <x:v>ALA Annual Conference 2027</x:v>
      </x:c>
      <x:c r="H20" s="12" t="str">
        <x:v>open</x:v>
      </x:c>
      <x:c r="I20" s="12" t="str">
        <x:v>evidence-learning;skeptic-education</x:v>
      </x:c>
      <x:c r="J20" s="12" t="str">
        <x:v>September 21, 2026 - 11:59pm Eastern</x:v>
      </x:c>
      <x:c r="K20" s="12" t="str">
        <x:v>UTC conversion uses EDT in effect on this date.</x:v>
      </x:c>
      <x:c r="L20" s="12" t="str">
        <x:v>https://www.ala.org/conferencesevents/ala-annual-2027-call-proposals</x:v>
      </x:c>
    </x:row>
    <x:row r="21">
      <x:c r="A21" s="18" t="n">
        <x:v>46286.5</x:v>
      </x:c>
      <x:c r="B21" s="12" t="str">
        <x:v>23:59</x:v>
      </x:c>
      <x:c r="C21" s="12" t="str">
        <x:v>Eastern</x:v>
      </x:c>
      <x:c r="D21" s="12" t="str">
        <x:v>cfp_deadline</x:v>
      </x:c>
      <x:c r="E21" s="12" t="str">
        <x:v>exact</x:v>
      </x:c>
      <x:c r="F21" s="12" t="str">
        <x:v>ALA Annual Conference and Exhibition</x:v>
      </x:c>
      <x:c r="G21" s="12" t="str">
        <x:v>ALA Annual Conference 2027</x:v>
      </x:c>
      <x:c r="H21" s="12" t="str">
        <x:v>open</x:v>
      </x:c>
      <x:c r="I21" s="12" t="str">
        <x:v>evidence-learning;skeptic-education</x:v>
      </x:c>
      <x:c r="J21" s="12" t="str">
        <x:v>September 21, 2026 - 11:59pm Eastern</x:v>
      </x:c>
      <x:c r="K21" s="12" t="str">
        <x:v>UTC conversion uses EDT</x:v>
      </x:c>
      <x:c r="L21" s="12" t="str">
        <x:v>https://www.ala.org/conferencesevents/ala-annual-2027-call-proposals</x:v>
      </x:c>
    </x:row>
    <x:row r="22">
      <x:c r="A22" s="18" t="n">
        <x:v>46287.5</x:v>
      </x:c>
      <x:c r="B22" s="12" t="str"/>
      <x:c r="C22" s="12" t="str"/>
      <x:c r="D22" s="12" t="str">
        <x:v>event_start</x:v>
      </x:c>
      <x:c r="E22" s="12" t="str">
        <x:v>exact</x:v>
      </x:c>
      <x:c r="F22" s="12" t="str">
        <x:v>Tokenomicon Amsterdam</x:v>
      </x:c>
      <x:c r="G22" s="12" t="str">
        <x:v>Tokenomicon Amsterdam 2026</x:v>
      </x:c>
      <x:c r="H22" s="12" t="str">
        <x:v>closed</x:v>
      </x:c>
      <x:c r="I22" s="12" t="str">
        <x:v>free-tier</x:v>
      </x:c>
      <x:c r="J22" s="12" t="str">
        <x:v>22–23 September 2026</x:v>
      </x:c>
      <x:c r="K22" s="12" t="str"/>
      <x:c r="L22" s="12" t="str">
        <x:v>https://www.tokeneconomics.com/</x:v>
      </x:c>
    </x:row>
    <x:row r="23">
      <x:c r="A23" s="18" t="n">
        <x:v>46290.5</x:v>
      </x:c>
      <x:c r="B23" s="12" t="str"/>
      <x:c r="C23" s="12" t="str"/>
      <x:c r="D23" s="12" t="str">
        <x:v>cfp_close</x:v>
      </x:c>
      <x:c r="E23" s="12" t="str">
        <x:v>official-conflict</x:v>
      </x:c>
      <x:c r="F23" s="12" t="str">
        <x:v>DevOpsDays Tel Aviv</x:v>
      </x:c>
      <x:c r="G23" s="12" t="str">
        <x:v>DevOpsDays Tel Aviv 2026</x:v>
      </x:c>
      <x:c r="H23" s="12" t="str">
        <x:v>conflicting-official-pages</x:v>
      </x:c>
      <x:c r="I23" s="12" t="str">
        <x:v>free-tier</x:v>
      </x:c>
      <x:c r="J23" s="12" t="str">
        <x:v>deadline 2026-09-25 on official global speaking index</x:v>
      </x:c>
      <x:c r="K23" s="12" t="str">
        <x:v>Local propose page says CFP TBD</x:v>
      </x:c>
      <x:c r="L23" s="12" t="str">
        <x:v>https://devopsdays.org/speaking/</x:v>
      </x:c>
    </x:row>
    <x:row r="24">
      <x:c r="A24" s="18" t="n">
        <x:v>46293.5</x:v>
      </x:c>
      <x:c r="B24" s="12" t="str"/>
      <x:c r="C24" s="12" t="str"/>
      <x:c r="D24" s="12" t="str">
        <x:v>cfp_open</x:v>
      </x:c>
      <x:c r="E24" s="12" t="str">
        <x:v>exact</x:v>
      </x:c>
      <x:c r="F24" s="12" t="str">
        <x:v>Florida Online Innovation Summit</x:v>
      </x:c>
      <x:c r="G24" s="12" t="str">
        <x:v>Florida Online Innovation Summit 2027</x:v>
      </x:c>
      <x:c r="H24" s="12" t="str">
        <x:v>announced-not-open</x:v>
      </x:c>
      <x:c r="I24" s="12" t="str">
        <x:v>skeptic-education</x:v>
      </x:c>
      <x:c r="J24" s="12" t="str">
        <x:v>September 28, 2026</x:v>
      </x:c>
      <x:c r="K24" s="12" t="str"/>
      <x:c r="L24" s="12" t="str">
        <x:v>https://digitallearning.ucf.edu/ilab/innovation-summit/proposals/</x:v>
      </x:c>
    </x:row>
    <x:row r="25">
      <x:c r="A25" s="18" t="n">
        <x:v>46295.5</x:v>
      </x:c>
      <x:c r="B25" s="12" t="str"/>
      <x:c r="C25" s="12" t="str"/>
      <x:c r="D25" s="12" t="str">
        <x:v>cfp_deadline</x:v>
      </x:c>
      <x:c r="E25" s="12" t="str">
        <x:v>exact</x:v>
      </x:c>
      <x:c r="F25" s="12" t="str">
        <x:v>ASTE Educational Technology Conference</x:v>
      </x:c>
      <x:c r="G25" s="12" t="str">
        <x:v>ASTE 2027</x:v>
      </x:c>
      <x:c r="H25" s="12" t="str">
        <x:v>open</x:v>
      </x:c>
      <x:c r="I25" s="12" t="str">
        <x:v>skeptic-education</x:v>
      </x:c>
      <x:c r="J25" s="12" t="str">
        <x:v>Proposals due September 30, 2026</x:v>
      </x:c>
      <x:c r="K25" s="12" t="str">
        <x:v>Rolling review; no time zone stated</x:v>
      </x:c>
      <x:c r="L25" s="12" t="str">
        <x:v>https://www.aste.org/conference/</x:v>
      </x:c>
    </x:row>
    <x:row r="26">
      <x:c r="A26" s="18" t="n">
        <x:v>46295.5</x:v>
      </x:c>
      <x:c r="B26" s="12" t="str"/>
      <x:c r="C26" s="12" t="str"/>
      <x:c r="D26" s="12" t="str">
        <x:v>cfp</x:v>
      </x:c>
      <x:c r="E26" s="12" t="str">
        <x:v>confirmed</x:v>
      </x:c>
      <x:c r="F26" s="12" t="str">
        <x:v>EuroSTAR Software Testing Conference</x:v>
      </x:c>
      <x:c r="G26" s="12" t="str">
        <x:v>EuroSTAR 2027</x:v>
      </x:c>
      <x:c r="H26" s="12" t="str">
        <x:v>open</x:v>
      </x:c>
      <x:c r="I26" s="12" t="str">
        <x:v>benchmarks;failure-improvement;parallelization</x:v>
      </x:c>
      <x:c r="J26" s="12" t="str">
        <x:v>September 30th</x:v>
      </x:c>
      <x:c r="K26" s="12" t="str">
        <x:v>Year supplied by the 2027 call context; time and zone absent</x:v>
      </x:c>
      <x:c r="L26" s="12" t="str">
        <x:v>https://conference.eurostarsoftwaretesting.com/call-for-submissions/</x:v>
      </x:c>
    </x:row>
    <x:row r="27">
      <x:c r="A27" s="18" t="n">
        <x:v>46295.5</x:v>
      </x:c>
      <x:c r="B27" s="12" t="str"/>
      <x:c r="C27" s="12" t="str"/>
      <x:c r="D27" s="12" t="str">
        <x:v>cfp_deadline</x:v>
      </x:c>
      <x:c r="E27" s="12" t="str">
        <x:v>confirmed</x:v>
      </x:c>
      <x:c r="F27" s="12" t="str">
        <x:v>EuroSTAR Software Testing Conference</x:v>
      </x:c>
      <x:c r="G27" s="12" t="str">
        <x:v>EuroSTAR 2027</x:v>
      </x:c>
      <x:c r="H27" s="12" t="str">
        <x:v>open</x:v>
      </x:c>
      <x:c r="I27" s="12" t="str">
        <x:v>benchmarks;failure-improvement;parallelization</x:v>
      </x:c>
      <x:c r="J27" s="12" t="str">
        <x:v>30 September 2026</x:v>
      </x:c>
      <x:c r="K27" s="12" t="str">
        <x:v>No time or timezone stated.</x:v>
      </x:c>
      <x:c r="L27" s="12" t="str">
        <x:v>https://conference.eurostarsoftwaretesting.com/call-for-submissions/</x:v>
      </x:c>
    </x:row>
    <x:row r="28">
      <x:c r="A28" s="18" t="n">
        <x:v>46295.5</x:v>
      </x:c>
      <x:c r="B28" s="12" t="str"/>
      <x:c r="C28" s="12" t="str"/>
      <x:c r="D28" s="12" t="str">
        <x:v>cfp</x:v>
      </x:c>
      <x:c r="E28" s="12" t="str">
        <x:v>confirmed</x:v>
      </x:c>
      <x:c r="F28" s="12" t="str">
        <x:v>Great International Developer Summit</x:v>
      </x:c>
      <x:c r="G28" s="12" t="str">
        <x:v>GIDS 2027</x:v>
      </x:c>
      <x:c r="H28" s="12" t="str">
        <x:v>open</x:v>
      </x:c>
      <x:c r="I28" s="12" t="str">
        <x:v>adaptive-systems;benchmarks;failure-improvement;judgment;parallelization;product-engineering;retrieval</x:v>
      </x:c>
      <x:c r="J28" s="12" t="str">
        <x:v>September 30, 2026</x:v>
      </x:c>
      <x:c r="K28" s="12" t="str"/>
      <x:c r="L28" s="12" t="str">
        <x:v>https://form.jotform.com/saltmarch/gids2027cfp</x:v>
      </x:c>
    </x:row>
    <x:row r="29">
      <x:c r="A29" s="18" t="n">
        <x:v>46295.5</x:v>
      </x:c>
      <x:c r="B29" s="12" t="str"/>
      <x:c r="C29" s="12" t="str"/>
      <x:c r="D29" s="12" t="str">
        <x:v>cfp_close</x:v>
      </x:c>
      <x:c r="E29" s="12" t="str">
        <x:v>exact</x:v>
      </x:c>
      <x:c r="F29" s="12" t="str">
        <x:v>Great International Developer Summit</x:v>
      </x:c>
      <x:c r="G29" s="12" t="str">
        <x:v>GIDS 2027</x:v>
      </x:c>
      <x:c r="H29" s="12" t="str">
        <x:v>open</x:v>
      </x:c>
      <x:c r="I29" s="12" t="str">
        <x:v>adaptive-systems;benchmarks;failure-improvement;judgment;parallelization;product-engineering;retrieval</x:v>
      </x:c>
      <x:c r="J29" s="12" t="str">
        <x:v>Deadline to Submit: September 30, 2026</x:v>
      </x:c>
      <x:c r="K29" s="12" t="str"/>
      <x:c r="L29" s="12" t="str">
        <x:v>https://form.jotform.com/saltmarch/gids2027cfp</x:v>
      </x:c>
    </x:row>
    <x:row r="30">
      <x:c r="A30" s="18" t="n">
        <x:v>46295.5</x:v>
      </x:c>
      <x:c r="B30" s="12" t="str"/>
      <x:c r="C30" s="12" t="str"/>
      <x:c r="D30" s="12" t="str">
        <x:v>cfp_deadline</x:v>
      </x:c>
      <x:c r="E30" s="12" t="str">
        <x:v>confirmed</x:v>
      </x:c>
      <x:c r="F30" s="12" t="str">
        <x:v>Great International Developer Summit</x:v>
      </x:c>
      <x:c r="G30" s="12" t="str">
        <x:v>GIDS 2027</x:v>
      </x:c>
      <x:c r="H30" s="12" t="str">
        <x:v>open</x:v>
      </x:c>
      <x:c r="I30" s="12" t="str">
        <x:v>adaptive-systems;benchmarks;failure-improvement;judgment;parallelization;product-engineering;retrieval</x:v>
      </x:c>
      <x:c r="J30" s="12" t="str">
        <x:v>September 30, 2026</x:v>
      </x:c>
      <x:c r="K30" s="12" t="str">
        <x:v>No time or timezone stated.</x:v>
      </x:c>
      <x:c r="L30" s="12" t="str">
        <x:v>https://form.jotform.com/saltmarch/gids2027cfp</x:v>
      </x:c>
    </x:row>
    <x:row r="31">
      <x:c r="A31" s="18" t="n">
        <x:v>46295.5</x:v>
      </x:c>
      <x:c r="B31" s="12" t="str"/>
      <x:c r="C31" s="12" t="str"/>
      <x:c r="D31" s="12" t="str">
        <x:v>cfp_deadline</x:v>
      </x:c>
      <x:c r="E31" s="12" t="str">
        <x:v>exact</x:v>
      </x:c>
      <x:c r="F31" s="12" t="str">
        <x:v>ISTELive</x:v>
      </x:c>
      <x:c r="G31" s="12" t="str">
        <x:v>ISTELive 27</x:v>
      </x:c>
      <x:c r="H31" s="12" t="str">
        <x:v>open</x:v>
      </x:c>
      <x:c r="I31" s="12" t="str">
        <x:v>skeptic-education</x:v>
      </x:c>
      <x:c r="J31" s="12" t="str">
        <x:v>September 30, 2026</x:v>
      </x:c>
      <x:c r="K31" s="12" t="str"/>
      <x:c r="L31" s="12" t="str">
        <x:v>https://conference.iste.org/2027/presenters/submit_proposal.php</x:v>
      </x:c>
    </x:row>
    <x:row r="32">
      <x:c r="A32" s="18" t="n">
        <x:v>46295.5</x:v>
      </x:c>
      <x:c r="B32" s="12" t="str"/>
      <x:c r="C32" s="12" t="str"/>
      <x:c r="D32" s="12" t="str">
        <x:v>cfp_deadline</x:v>
      </x:c>
      <x:c r="E32" s="12" t="str">
        <x:v>exact</x:v>
      </x:c>
      <x:c r="F32" s="12" t="str">
        <x:v>UPCEA Digital Teaching &amp; Learning Conference</x:v>
      </x:c>
      <x:c r="G32" s="12" t="str">
        <x:v>2027 UPCEA Digital Teaching &amp; Learning Conference</x:v>
      </x:c>
      <x:c r="H32" s="12" t="str">
        <x:v>open</x:v>
      </x:c>
      <x:c r="I32" s="12" t="str">
        <x:v>evidence-learning;skeptic-education</x:v>
      </x:c>
      <x:c r="J32" s="12" t="str">
        <x:v>September 30</x:v>
      </x:c>
      <x:c r="K32" s="12" t="str">
        <x:v>Year is unambiguous from the 2027 CFP timeline and 2026 publication context; no time zone stated.</x:v>
      </x:c>
      <x:c r="L32" s="12" t="str">
        <x:v>https://conferences.upcea.edu/DTL2027/proposals.html</x:v>
      </x:c>
    </x:row>
    <x:row r="33">
      <x:c r="A33" s="18" t="n">
        <x:v>46295.5</x:v>
      </x:c>
      <x:c r="B33" s="12" t="str"/>
      <x:c r="C33" s="12" t="str"/>
      <x:c r="D33" s="12" t="str">
        <x:v>cfp_deadline</x:v>
      </x:c>
      <x:c r="E33" s="12" t="str">
        <x:v>exact</x:v>
      </x:c>
      <x:c r="F33" s="12" t="str">
        <x:v>UPCEA Digital Teaching &amp; Learning Conference</x:v>
      </x:c>
      <x:c r="G33" s="12" t="str">
        <x:v>2027 UPCEA Digital Teaching &amp; Learning Conference</x:v>
      </x:c>
      <x:c r="H33" s="12" t="str">
        <x:v>open</x:v>
      </x:c>
      <x:c r="I33" s="12" t="str">
        <x:v>evidence-learning;skeptic-education</x:v>
      </x:c>
      <x:c r="J33" s="12" t="str">
        <x:v>Proposals Due September 30</x:v>
      </x:c>
      <x:c r="K33" s="12" t="str">
        <x:v>No time zone stated</x:v>
      </x:c>
      <x:c r="L33" s="12" t="str">
        <x:v>https://conferences.upcea.edu/DTL2027/proposals.html</x:v>
      </x:c>
    </x:row>
    <x:row r="34">
      <x:c r="A34" s="18" t="n">
        <x:v>46296.5</x:v>
      </x:c>
      <x:c r="B34" s="12" t="str"/>
      <x:c r="C34" s="12" t="str"/>
      <x:c r="D34" s="12" t="str">
        <x:v>cfp_close</x:v>
      </x:c>
      <x:c r="E34" s="12" t="str">
        <x:v>exact</x:v>
      </x:c>
      <x:c r="F34" s="12" t="str">
        <x:v>DevOpsDays Almaty</x:v>
      </x:c>
      <x:c r="G34" s="12" t="str">
        <x:v>DevOpsDays Almaty 2026</x:v>
      </x:c>
      <x:c r="H34" s="12" t="str">
        <x:v>open</x:v>
      </x:c>
      <x:c r="I34" s="12" t="str">
        <x:v>free-tier</x:v>
      </x:c>
      <x:c r="J34" s="12" t="str">
        <x:v>deadline 2026-10-01 on official global speaking index</x:v>
      </x:c>
      <x:c r="K34" s="12" t="str">
        <x:v>Local page not extractable; recheck before action</x:v>
      </x:c>
      <x:c r="L34" s="12" t="str">
        <x:v>https://devopsdays.org/speaking/</x:v>
      </x:c>
    </x:row>
    <x:row r="35">
      <x:c r="A35" s="18" t="n">
        <x:v>46296.5</x:v>
      </x:c>
      <x:c r="B35" s="12" t="str"/>
      <x:c r="C35" s="12" t="str"/>
      <x:c r="D35" s="12" t="str">
        <x:v>cfp_close</x:v>
      </x:c>
      <x:c r="E35" s="12" t="str">
        <x:v>exact</x:v>
      </x:c>
      <x:c r="F35" s="12" t="str">
        <x:v>European Chatbot &amp; Agentic AI Summit</x:v>
      </x:c>
      <x:c r="G35" s="12" t="str">
        <x:v>European Chatbot &amp; Agentic AI Summit 2027</x:v>
      </x:c>
      <x:c r="H35" s="12" t="str">
        <x:v>conflicting-official-pages</x:v>
      </x:c>
      <x:c r="I35" s="12" t="str">
        <x:v>retrieval</x:v>
      </x:c>
      <x:c r="J35" s="12" t="str">
        <x:v>Deadline to Apply: October. 1, 2026</x:v>
      </x:c>
      <x:c r="K35" s="12" t="str">
        <x:v>Homepage says call will open soon while CFP page accepts proposals</x:v>
      </x:c>
      <x:c r="L35" s="12" t="str">
        <x:v>https://theeuropeanchatbot.com/call-for-speakers/</x:v>
      </x:c>
    </x:row>
    <x:row r="36">
      <x:c r="A36" s="18" t="n">
        <x:v>46296.5</x:v>
      </x:c>
      <x:c r="B36" s="12" t="str"/>
      <x:c r="C36" s="12" t="str"/>
      <x:c r="D36" s="12" t="str">
        <x:v>cfp_deadline</x:v>
      </x:c>
      <x:c r="E36" s="12" t="str">
        <x:v>exact</x:v>
      </x:c>
      <x:c r="F36" s="12" t="str">
        <x:v>Lilly Conference San Diego</x:v>
      </x:c>
      <x:c r="G36" s="12" t="str">
        <x:v>Lilly San Diego 2027</x:v>
      </x:c>
      <x:c r="H36" s="12" t="str">
        <x:v>open</x:v>
      </x:c>
      <x:c r="I36" s="12" t="str">
        <x:v>evidence-learning;skeptic-education</x:v>
      </x:c>
      <x:c r="J36" s="12" t="str">
        <x:v>Closes October 1, 2026</x:v>
      </x:c>
      <x:c r="K36" s="12" t="str"/>
      <x:c r="L36" s="12" t="str">
        <x:v>https://www.lillyconferences.com/</x:v>
      </x:c>
    </x:row>
    <x:row r="37">
      <x:c r="A37" s="18" t="n">
        <x:v>46296.5</x:v>
      </x:c>
      <x:c r="B37" s="12" t="str"/>
      <x:c r="C37" s="12" t="str"/>
      <x:c r="D37" s="12" t="str">
        <x:v>cfp_deadline</x:v>
      </x:c>
      <x:c r="E37" s="12" t="str">
        <x:v>exact</x:v>
      </x:c>
      <x:c r="F37" s="12" t="str">
        <x:v>Lilly Conference San Diego</x:v>
      </x:c>
      <x:c r="G37" s="12" t="str">
        <x:v>Lilly San Diego 2027</x:v>
      </x:c>
      <x:c r="H37" s="12" t="str">
        <x:v>open</x:v>
      </x:c>
      <x:c r="I37" s="12" t="str">
        <x:v>evidence-learning;skeptic-education</x:v>
      </x:c>
      <x:c r="J37" s="12" t="str">
        <x:v>Closes October 1, 2026</x:v>
      </x:c>
      <x:c r="K37" s="12" t="str">
        <x:v>No time zone stated</x:v>
      </x:c>
      <x:c r="L37" s="12" t="str">
        <x:v>https://www.lillyconferences.com/</x:v>
      </x:c>
    </x:row>
    <x:row r="38">
      <x:c r="A38" s="18" t="n">
        <x:v>46297.5</x:v>
      </x:c>
      <x:c r="B38" s="12" t="str"/>
      <x:c r="C38" s="12" t="str"/>
      <x:c r="D38" s="12" t="str">
        <x:v>proposal_submission</x:v>
      </x:c>
      <x:c r="E38" s="12" t="str">
        <x:v>exact</x:v>
      </x:c>
      <x:c r="F38" s="12" t="str">
        <x:v>IEEE International Conference on Software Architecture</x:v>
      </x:c>
      <x:c r="G38" s="12" t="str">
        <x:v>ICSA 2027 Working Sessions</x:v>
      </x:c>
      <x:c r="H38" s="12" t="str">
        <x:v>open</x:v>
      </x:c>
      <x:c r="I38" s="12" t="str">
        <x:v>adaptive-systems</x:v>
      </x:c>
      <x:c r="J38" s="12" t="str">
        <x:v>2 October 2026</x:v>
      </x:c>
      <x:c r="K38" s="12" t="str"/>
      <x:c r="L38" s="12" t="str">
        <x:v>https://conf.researchr.org/track/icsa-2027/icsa-2027-working-sessions</x:v>
      </x:c>
    </x:row>
    <x:row r="39">
      <x:c r="A39" s="18" t="n">
        <x:v>46299.5</x:v>
      </x:c>
      <x:c r="B39" s="12" t="str"/>
      <x:c r="C39" s="12" t="str">
        <x:v>conflicting: PDT UTC-07:00 / EST</x:v>
      </x:c>
      <x:c r="D39" s="12" t="str">
        <x:v>cfp_deadline</x:v>
      </x:c>
      <x:c r="E39" s="12" t="str">
        <x:v>conflicting</x:v>
      </x:c>
      <x:c r="F39" s="12" t="str">
        <x:v>PlatformCon Live Day San Francisco</x:v>
      </x:c>
      <x:c r="G39" s="12" t="str">
        <x:v>PlatformCon Live Day San Francisco 2027</x:v>
      </x:c>
      <x:c r="H39" s="12" t="str">
        <x:v>open</x:v>
      </x:c>
      <x:c r="I39" s="12" t="str">
        <x:v>failure-improvement;free-tier;parallelization;retrieval</x:v>
      </x:c>
      <x:c r="J39" s="12" t="str">
        <x:v>4 Oct 2026 11:59 PM Pacific Daylight Time UTC-07:00; organizer CFP page says 4 Oct 12:59 PM EST</x:v>
      </x:c>
      <x:c r="K39" s="12" t="str">
        <x:v>Submission system and organizer event page conflict materially. Treat Sessionize as operational route but verify before relying on time.</x:v>
      </x:c>
      <x:c r="L39" s="12" t="str"/>
    </x:row>
    <x:row r="40">
      <x:c r="A40" s="18" t="n">
        <x:v>46299.5</x:v>
      </x:c>
      <x:c r="B40" s="12" t="str">
        <x:v>12:59</x:v>
      </x:c>
      <x:c r="C40" s="12" t="str">
        <x:v>EST</x:v>
      </x:c>
      <x:c r="D40" s="12" t="str">
        <x:v>cfp_close</x:v>
      </x:c>
      <x:c r="E40" s="12" t="str">
        <x:v>exact-as-stated</x:v>
      </x:c>
      <x:c r="F40" s="12" t="str">
        <x:v>PlatformCon Live Day San Francisco</x:v>
      </x:c>
      <x:c r="G40" s="12" t="str">
        <x:v>PlatformCon Live Day San Francisco 2027</x:v>
      </x:c>
      <x:c r="H40" s="12" t="str">
        <x:v>open</x:v>
      </x:c>
      <x:c r="I40" s="12" t="str">
        <x:v>failure-improvement;free-tier;parallelization;retrieval</x:v>
      </x:c>
      <x:c r="J40" s="12" t="str">
        <x:v>October 4, 12:59 PM EST</x:v>
      </x:c>
      <x:c r="K40" s="12" t="str">
        <x:v>Timezone says EST even though event is in San Francisco; UTC not normalized because fixed-vs-seasonal intent is unclear</x:v>
      </x:c>
      <x:c r="L40" s="12" t="str">
        <x:v>https://sanfrancisco.platformcon.com/cfp</x:v>
      </x:c>
    </x:row>
    <x:row r="41">
      <x:c r="A41" s="18" t="n">
        <x:v>46299.5</x:v>
      </x:c>
      <x:c r="B41" s="12" t="str">
        <x:v>23:59</x:v>
      </x:c>
      <x:c r="C41" s="12" t="str">
        <x:v>PT</x:v>
      </x:c>
      <x:c r="D41" s="12" t="str">
        <x:v>cfp_close</x:v>
      </x:c>
      <x:c r="E41" s="12" t="str">
        <x:v>official-conflict</x:v>
      </x:c>
      <x:c r="F41" s="12" t="str">
        <x:v>AgenticCon</x:v>
      </x:c>
      <x:c r="G41" s="12" t="str">
        <x:v>AgenticCon 2027</x:v>
      </x:c>
      <x:c r="H41" s="12" t="str">
        <x:v>open</x:v>
      </x:c>
      <x:c r="I41" s="12" t="str">
        <x:v>retrieval</x:v>
      </x:c>
      <x:c r="J41" s="12" t="str">
        <x:v>October 4, 11:59 PM PT</x:v>
      </x:c>
      <x:c r="K41" s="12" t="str">
        <x:v>Same page footer says November 1, 11:59 PM PT</x:v>
      </x:c>
      <x:c r="L41" s="12" t="str">
        <x:v>https://agenticcon.com/cfp</x:v>
      </x:c>
    </x:row>
    <x:row r="42">
      <x:c r="A42" s="18" t="n">
        <x:v>46300.5</x:v>
      </x:c>
      <x:c r="B42" s="12" t="str"/>
      <x:c r="C42" s="12" t="str"/>
      <x:c r="D42" s="12" t="str">
        <x:v>cfp_open</x:v>
      </x:c>
      <x:c r="E42" s="12" t="str">
        <x:v>exact</x:v>
      </x:c>
      <x:c r="F42" s="12" t="str">
        <x:v>Teaching and Learning with AI Conference</x:v>
      </x:c>
      <x:c r="G42" s="12" t="str">
        <x:v>Teaching and Learning with AI 2027</x:v>
      </x:c>
      <x:c r="H42" s="12" t="str">
        <x:v>announced-not-open</x:v>
      </x:c>
      <x:c r="I42" s="12" t="str">
        <x:v>evidence-learning;skeptic-education</x:v>
      </x:c>
      <x:c r="J42" s="12" t="str">
        <x:v>October 5, 2026</x:v>
      </x:c>
      <x:c r="K42" s="12" t="str"/>
      <x:c r="L42" s="12" t="str">
        <x:v>https://aiforall.ucf.edu/teachwithai/</x:v>
      </x:c>
    </x:row>
    <x:row r="43">
      <x:c r="A43" s="18" t="n">
        <x:v>46300.5</x:v>
      </x:c>
      <x:c r="B43" s="12" t="str">
        <x:v>23:59</x:v>
      </x:c>
      <x:c r="C43" s="12" t="str">
        <x:v>conflicting: Pacific Daylight Time (Mexico) UTC-07:00 / CST</x:v>
      </x:c>
      <x:c r="D43" s="12" t="str">
        <x:v>cfp_deadline</x:v>
      </x:c>
      <x:c r="E43" s="12" t="str">
        <x:v>conflicting</x:v>
      </x:c>
      <x:c r="F43" s="12" t="str">
        <x:v>Visual Studio Live!</x:v>
      </x:c>
      <x:c r="G43" s="12" t="str">
        <x:v>Visual Studio Live! Austin 2027</x:v>
      </x:c>
      <x:c r="H43" s="12" t="str">
        <x:v>open</x:v>
      </x:c>
      <x:c r="I43" s="12" t="str">
        <x:v>failure-improvement;parallelization</x:v>
      </x:c>
      <x:c r="J43" s="12" t="str">
        <x:v>5 Oct 2026 11:59 PM Pacific Daylight Time (Mexico) UTC-07:00; page body says 11:59 CST</x:v>
      </x:c>
      <x:c r="K43" s="12" t="str">
        <x:v>Sessionize metadata and body conflict; do not normalize to UTC until organizer clarifies.</x:v>
      </x:c>
      <x:c r="L43" s="12" t="str">
        <x:v>https://sessionize.com/vslive_austin27/</x:v>
      </x:c>
    </x:row>
    <x:row r="44">
      <x:c r="A44" s="18" t="n">
        <x:v>46304.5</x:v>
      </x:c>
      <x:c r="B44" s="12" t="str"/>
      <x:c r="C44" s="12" t="str"/>
      <x:c r="D44" s="12" t="str">
        <x:v>notification</x:v>
      </x:c>
      <x:c r="E44" s="12" t="str">
        <x:v>exact</x:v>
      </x:c>
      <x:c r="F44" s="12" t="str">
        <x:v>ICAI Annual Conference</x:v>
      </x:c>
      <x:c r="G44" s="12" t="str">
        <x:v>ICAI 2027 Annual Conference</x:v>
      </x:c>
      <x:c r="H44" s="12" t="str">
        <x:v>open</x:v>
      </x:c>
      <x:c r="I44" s="12" t="str">
        <x:v>evidence-learning</x:v>
      </x:c>
      <x:c r="J44" s="12" t="str">
        <x:v>October 9, 2026</x:v>
      </x:c>
      <x:c r="K44" s="12" t="str"/>
      <x:c r="L44" s="12" t="str">
        <x:v>https://academicintegrity.org/aws/ICAI/pt/sp/conference_cfp</x:v>
      </x:c>
    </x:row>
    <x:row r="45">
      <x:c r="A45" s="18" t="n">
        <x:v>46304.5</x:v>
      </x:c>
      <x:c r="B45" s="12" t="str"/>
      <x:c r="C45" s="12" t="str"/>
      <x:c r="D45" s="12" t="str">
        <x:v>cfp_deadline</x:v>
      </x:c>
      <x:c r="E45" s="12" t="str">
        <x:v>exact</x:v>
      </x:c>
      <x:c r="F45" s="12" t="str">
        <x:v>ISLS Annual Meeting / ICLS and CSCL</x:v>
      </x:c>
      <x:c r="G45" s="12" t="str">
        <x:v>ISLS Annual Meeting 2027</x:v>
      </x:c>
      <x:c r="H45" s="12" t="str">
        <x:v>open</x:v>
      </x:c>
      <x:c r="I45" s="12" t="str">
        <x:v>evidence-learning</x:v>
      </x:c>
      <x:c r="J45" s="12" t="str">
        <x:v>October 9, 2026: contributions for long and short papers, posters &amp; symposia due</x:v>
      </x:c>
      <x:c r="K45" s="12" t="str">
        <x:v>Research-contribution deadline, not a conventional speaker CFP.</x:v>
      </x:c>
      <x:c r="L45" s="12" t="str">
        <x:v>https://2027.isls.org/icls-2027-call-for-proposals/</x:v>
      </x:c>
    </x:row>
    <x:row r="46">
      <x:c r="A46" s="18" t="n">
        <x:v>46304.5</x:v>
      </x:c>
      <x:c r="B46" s="12" t="str"/>
      <x:c r="C46" s="12" t="str"/>
      <x:c r="D46" s="12" t="str">
        <x:v>cfp_deadline</x:v>
      </x:c>
      <x:c r="E46" s="12" t="str">
        <x:v>conflicting</x:v>
      </x:c>
      <x:c r="F46" s="12" t="str">
        <x:v>KMWorld Europe</x:v>
      </x:c>
      <x:c r="G46" s="12" t="str">
        <x:v>KMWorld Europe 2027</x:v>
      </x:c>
      <x:c r="H46" s="12" t="str">
        <x:v>conflicting</x:v>
      </x:c>
      <x:c r="I46" s="12" t="str">
        <x:v>judgment;product-engineering</x:v>
      </x:c>
      <x:c r="J46" s="12" t="str">
        <x:v>9 October at the latest</x:v>
      </x:c>
      <x:c r="K46" s="12" t="str">
        <x:v>Page header says 'Opens soon' and body incorrectly names 2026 participation on a 2027 page; not safe as actionable.</x:v>
      </x:c>
      <x:c r="L46" s="12" t="str">
        <x:v>https://www.kmworld.com/Europe/2027/CallForSpeakers.aspx</x:v>
      </x:c>
    </x:row>
    <x:row r="47">
      <x:c r="A47" s="18" t="n">
        <x:v>46306.5</x:v>
      </x:c>
      <x:c r="B47" s="12" t="str"/>
      <x:c r="C47" s="12" t="str"/>
      <x:c r="D47" s="12" t="str">
        <x:v>cfp</x:v>
      </x:c>
      <x:c r="E47" s="12" t="str">
        <x:v>confirmed</x:v>
      </x:c>
      <x:c r="F47" s="12" t="str">
        <x:v>expo:QA</x:v>
      </x:c>
      <x:c r="G47" s="12" t="str">
        <x:v>expo:QA 2027</x:v>
      </x:c>
      <x:c r="H47" s="12" t="str">
        <x:v>open</x:v>
      </x:c>
      <x:c r="I47" s="12" t="str">
        <x:v>benchmarks;failure-improvement;parallelization</x:v>
      </x:c>
      <x:c r="J47" s="12" t="str">
        <x:v>11th October 2026</x:v>
      </x:c>
      <x:c r="K47" s="12" t="str"/>
      <x:c r="L47" s="12" t="str">
        <x:v>https://expoqa.com/call-for-speaker/</x:v>
      </x:c>
    </x:row>
    <x:row r="48">
      <x:c r="A48" s="18" t="n">
        <x:v>46306.5</x:v>
      </x:c>
      <x:c r="B48" s="12" t="str"/>
      <x:c r="C48" s="12" t="str"/>
      <x:c r="D48" s="12" t="str">
        <x:v>cfp_deadline</x:v>
      </x:c>
      <x:c r="E48" s="12" t="str">
        <x:v>confirmed</x:v>
      </x:c>
      <x:c r="F48" s="12" t="str">
        <x:v>expo:QA</x:v>
      </x:c>
      <x:c r="G48" s="12" t="str">
        <x:v>expo:QA 2027</x:v>
      </x:c>
      <x:c r="H48" s="12" t="str">
        <x:v>open</x:v>
      </x:c>
      <x:c r="I48" s="12" t="str">
        <x:v>benchmarks;failure-improvement;parallelization</x:v>
      </x:c>
      <x:c r="J48" s="12" t="str">
        <x:v>October 11, 2026</x:v>
      </x:c>
      <x:c r="K48" s="12" t="str">
        <x:v>No time or timezone stated.</x:v>
      </x:c>
      <x:c r="L48" s="12" t="str">
        <x:v>https://expoqa.com/call-for-speaker/</x:v>
      </x:c>
    </x:row>
    <x:row r="49">
      <x:c r="A49" s="18" t="n">
        <x:v>46306.5</x:v>
      </x:c>
      <x:c r="B49" s="12" t="str">
        <x:v>23:59</x:v>
      </x:c>
      <x:c r="C49" s="12" t="str">
        <x:v>CEST (UTC+2)</x:v>
      </x:c>
      <x:c r="D49" s="12" t="str">
        <x:v>cfp</x:v>
      </x:c>
      <x:c r="E49" s="12" t="str">
        <x:v>confirmed</x:v>
      </x:c>
      <x:c r="F49" s="12" t="str">
        <x:v>KubeCon + CloudNativeCon Europe</x:v>
      </x:c>
      <x:c r="G49" s="12" t="str">
        <x:v>KubeCon + CloudNativeCon Europe 2027</x:v>
      </x:c>
      <x:c r="H49" s="12" t="str">
        <x:v>open</x:v>
      </x:c>
      <x:c r="I49" s="12" t="str">
        <x:v>adaptive-systems;benchmarks;failure-improvement;free-tier;parallelization;retrieval</x:v>
      </x:c>
      <x:c r="J49" s="12" t="str">
        <x:v>October 11, 2026 at 11:59 PM CEST (UTC+2)</x:v>
      </x:c>
      <x:c r="K49" s="12" t="str"/>
      <x:c r="L49" s="12" t="str">
        <x:v>https://events.linuxfoundation.org/kubecon-cloudnativecon-europe/program/cfp/</x:v>
      </x:c>
    </x:row>
    <x:row r="50">
      <x:c r="A50" s="18" t="n">
        <x:v>46306.5</x:v>
      </x:c>
      <x:c r="B50" s="12" t="str">
        <x:v>23:59</x:v>
      </x:c>
      <x:c r="C50" s="12" t="str">
        <x:v>CEST (UTC+2)</x:v>
      </x:c>
      <x:c r="D50" s="12" t="str">
        <x:v>cfp_close</x:v>
      </x:c>
      <x:c r="E50" s="12" t="str">
        <x:v>exact</x:v>
      </x:c>
      <x:c r="F50" s="12" t="str">
        <x:v>KubeCon + CloudNativeCon Europe</x:v>
      </x:c>
      <x:c r="G50" s="12" t="str">
        <x:v>KubeCon + CloudNativeCon Europe 2027</x:v>
      </x:c>
      <x:c r="H50" s="12" t="str">
        <x:v>open</x:v>
      </x:c>
      <x:c r="I50" s="12" t="str">
        <x:v>adaptive-systems;benchmarks;failure-improvement;free-tier;parallelization;retrieval</x:v>
      </x:c>
      <x:c r="J50" s="12" t="str">
        <x:v>Sunday, 11 October at 11:59 PM CEST (UTC+2)</x:v>
      </x:c>
      <x:c r="K50" s="12" t="str"/>
      <x:c r="L50" s="12" t="str">
        <x:v>https://events.linuxfoundation.org/kubecon-cloudnativecon-europe/program/cfp/</x:v>
      </x:c>
    </x:row>
    <x:row r="51">
      <x:c r="A51" s="18" t="n">
        <x:v>46306.5</x:v>
      </x:c>
      <x:c r="B51" s="12" t="str">
        <x:v>23:59</x:v>
      </x:c>
      <x:c r="C51" s="12" t="str">
        <x:v>CEST (UTC+2)</x:v>
      </x:c>
      <x:c r="D51" s="12" t="str">
        <x:v>cfp_deadline</x:v>
      </x:c>
      <x:c r="E51" s="12" t="str">
        <x:v>confirmed</x:v>
      </x:c>
      <x:c r="F51" s="12" t="str">
        <x:v>KubeCon + CloudNativeCon Europe</x:v>
      </x:c>
      <x:c r="G51" s="12" t="str">
        <x:v>KubeCon + CloudNativeCon Europe 2027</x:v>
      </x:c>
      <x:c r="H51" s="12" t="str">
        <x:v>open</x:v>
      </x:c>
      <x:c r="I51" s="12" t="str">
        <x:v>adaptive-systems;benchmarks;failure-improvement;free-tier;parallelization;retrieval</x:v>
      </x:c>
      <x:c r="J51" s="12" t="str">
        <x:v>Sunday, October 11, 2026 at 11:59 PM CEST (UTC+2)</x:v>
      </x:c>
      <x:c r="K51" s="12" t="str"/>
      <x:c r="L51" s="12" t="str">
        <x:v>https://events.linuxfoundation.org/kubecon-cloudnativecon-europe/program/cfp/</x:v>
      </x:c>
    </x:row>
    <x:row r="52">
      <x:c r="A52" s="18" t="n">
        <x:v>46307.5</x:v>
      </x:c>
      <x:c r="B52" s="12" t="str"/>
      <x:c r="C52" s="12" t="str"/>
      <x:c r="D52" s="12" t="str">
        <x:v>cfp_deadline</x:v>
      </x:c>
      <x:c r="E52" s="12" t="str">
        <x:v>exact</x:v>
      </x:c>
      <x:c r="F52" s="12" t="str">
        <x:v>Hi AI!</x:v>
      </x:c>
      <x:c r="G52" s="12" t="str">
        <x:v>Hi AI! 2027</x:v>
      </x:c>
      <x:c r="H52" s="12" t="str">
        <x:v>open</x:v>
      </x:c>
      <x:c r="I52" s="12" t="str">
        <x:v>skeptic-education</x:v>
      </x:c>
      <x:c r="J52" s="12" t="str">
        <x:v>October 12, 2026</x:v>
      </x:c>
      <x:c r="K52" s="12" t="str">
        <x:v>No time zone stated</x:v>
      </x:c>
      <x:c r="L52" s="12" t="str">
        <x:v>https://www.ltcillinois.org/hiai/rfp/</x:v>
      </x:c>
    </x:row>
    <x:row r="53">
      <x:c r="A53" s="18" t="n">
        <x:v>46307.5</x:v>
      </x:c>
      <x:c r="B53" s="12" t="str">
        <x:v>23:00</x:v>
      </x:c>
      <x:c r="C53" s="12" t="str">
        <x:v>ET</x:v>
      </x:c>
      <x:c r="D53" s="12" t="str">
        <x:v>cfp_deadline</x:v>
      </x:c>
      <x:c r="E53" s="12" t="str">
        <x:v>confirmed</x:v>
      </x:c>
      <x:c r="F53" s="12" t="str">
        <x:v>APQC CONNECT</x:v>
      </x:c>
      <x:c r="G53" s="12" t="str">
        <x:v>APQC CONNECT 2027</x:v>
      </x:c>
      <x:c r="H53" s="12" t="str">
        <x:v>open</x:v>
      </x:c>
      <x:c r="I53" s="12" t="str">
        <x:v>judgment;product-engineering</x:v>
      </x:c>
      <x:c r="J53" s="12" t="str">
        <x:v>Monday, October 12, 2026 at 11:00 p.m. ET</x:v>
      </x:c>
      <x:c r="K53" s="12" t="str">
        <x:v>Source does not distinguish EDT/EST; UTC not normalized.</x:v>
      </x:c>
      <x:c r="L53" s="12" t="str">
        <x:v>https://www.apqc.org/events/2027/apqc-conference/call-for-speakers</x:v>
      </x:c>
    </x:row>
    <x:row r="54">
      <x:c r="A54" s="18" t="n">
        <x:v>46310.5</x:v>
      </x:c>
      <x:c r="B54" s="12" t="str"/>
      <x:c r="C54" s="12" t="str"/>
      <x:c r="D54" s="12" t="str">
        <x:v>cfp_deadline</x:v>
      </x:c>
      <x:c r="E54" s="12" t="str">
        <x:v>confirmed</x:v>
      </x:c>
      <x:c r="F54" s="12" t="str">
        <x:v>AI Festival</x:v>
      </x:c>
      <x:c r="G54" s="12" t="str">
        <x:v>AI Festival 2027</x:v>
      </x:c>
      <x:c r="H54" s="12" t="str">
        <x:v>open</x:v>
      </x:c>
      <x:c r="I54" s="12" t="str">
        <x:v>judgment;product-engineering</x:v>
      </x:c>
      <x:c r="J54" s="12" t="str">
        <x:v>Oct. 15th 2026, 2nd phase closing</x:v>
      </x:c>
      <x:c r="K54" s="12" t="str">
        <x:v>No time or timezone stated.</x:v>
      </x:c>
      <x:c r="L54" s="12" t="str">
        <x:v>https://en.aifestival.it/call/speaker/</x:v>
      </x:c>
    </x:row>
    <x:row r="55">
      <x:c r="A55" s="18" t="n">
        <x:v>46310.5</x:v>
      </x:c>
      <x:c r="B55" s="12" t="str">
        <x:v>23:59</x:v>
      </x:c>
      <x:c r="C55" s="12" t="str">
        <x:v>Eastern Daylight Time (UTC-04:00)</x:v>
      </x:c>
      <x:c r="D55" s="12" t="str">
        <x:v>cfp_deadline</x:v>
      </x:c>
      <x:c r="E55" s="12" t="str">
        <x:v>confirmed</x:v>
      </x:c>
      <x:c r="F55" s="12" t="str">
        <x:v>BACon</x:v>
      </x:c>
      <x:c r="G55" s="12" t="str">
        <x:v>BACon 2027</x:v>
      </x:c>
      <x:c r="H55" s="12" t="str">
        <x:v>open</x:v>
      </x:c>
      <x:c r="I55" s="12" t="str">
        <x:v>judgment;product-engineering</x:v>
      </x:c>
      <x:c r="J55" s="12" t="str">
        <x:v>15 Oct 2026 11:59 PM Eastern Daylight Time (UTC-04:00)</x:v>
      </x:c>
      <x:c r="K55" s="12" t="str"/>
      <x:c r="L55" s="12" t="str">
        <x:v>https://sessionize.com/bacon-2027/</x:v>
      </x:c>
    </x:row>
    <x:row r="56">
      <x:c r="A56" s="18" t="n">
        <x:v>46313.5</x:v>
      </x:c>
      <x:c r="B56" s="12" t="str"/>
      <x:c r="C56" s="12" t="str"/>
      <x:c r="D56" s="12" t="str">
        <x:v>cfp_close</x:v>
      </x:c>
      <x:c r="E56" s="12" t="str">
        <x:v>exact</x:v>
      </x:c>
      <x:c r="F56" s="12" t="str">
        <x:v>Cloud Native AI + Inference Day Europe</x:v>
      </x:c>
      <x:c r="G56" s="12" t="str">
        <x:v>Cloud Native AI + Inference Day Europe 2027</x:v>
      </x:c>
      <x:c r="H56" s="12" t="str">
        <x:v>open</x:v>
      </x:c>
      <x:c r="I56" s="12" t="str">
        <x:v>adaptive-systems;retrieval</x:v>
      </x:c>
      <x:c r="J56" s="12" t="str">
        <x:v>through Sunday, 18 October 2026</x:v>
      </x:c>
      <x:c r="K56" s="12" t="str"/>
      <x:c r="L56" s="12" t="str">
        <x:v>https://events.linuxfoundation.org/kubecon-cloudnativecon-europe/co-located-events/cloud-native-ai-inference-day-europe/</x:v>
      </x:c>
    </x:row>
    <x:row r="57">
      <x:c r="A57" s="18" t="n">
        <x:v>46313.5</x:v>
      </x:c>
      <x:c r="B57" s="12" t="str"/>
      <x:c r="C57" s="12" t="str"/>
      <x:c r="D57" s="12" t="str">
        <x:v>cfp_close</x:v>
      </x:c>
      <x:c r="E57" s="12" t="str">
        <x:v>exact</x:v>
      </x:c>
      <x:c r="F57" s="12" t="str">
        <x:v>Platform Engineering Day Europe</x:v>
      </x:c>
      <x:c r="G57" s="12" t="str">
        <x:v>Platform Engineering Day Europe 2027</x:v>
      </x:c>
      <x:c r="H57" s="12" t="str">
        <x:v>open</x:v>
      </x:c>
      <x:c r="I57" s="12" t="str">
        <x:v>adaptive-systems;retrieval</x:v>
      </x:c>
      <x:c r="J57" s="12" t="str">
        <x:v>through Sunday, 18 October 2026</x:v>
      </x:c>
      <x:c r="K57" s="12" t="str"/>
      <x:c r="L57" s="12" t="str">
        <x:v>https://events.linuxfoundation.org/kubecon-cloudnativecon-europe/co-located-events/platform-engineering-day/</x:v>
      </x:c>
    </x:row>
    <x:row r="58">
      <x:c r="A58" s="18" t="n">
        <x:v>46313.5</x:v>
      </x:c>
      <x:c r="B58" s="12" t="str">
        <x:v>23:59</x:v>
      </x:c>
      <x:c r="C58" s="12" t="str">
        <x:v>Central European Time (UTC+2)</x:v>
      </x:c>
      <x:c r="D58" s="12" t="str">
        <x:v>cfp_close</x:v>
      </x:c>
      <x:c r="E58" s="12" t="str">
        <x:v>exact</x:v>
      </x:c>
      <x:c r="F58" s="12" t="str">
        <x:v>Agentics Day: MCP + Agents Europe</x:v>
      </x:c>
      <x:c r="G58" s="12" t="str">
        <x:v>Agentics Day: MCP + Agents Europe 2027</x:v>
      </x:c>
      <x:c r="H58" s="12" t="str">
        <x:v>open</x:v>
      </x:c>
      <x:c r="I58" s="12" t="str">
        <x:v>adaptive-systems;failure-improvement;parallelization</x:v>
      </x:c>
      <x:c r="J58" s="12" t="str">
        <x:v>Sunday, 18 October 2026, at 11:59pm Central European Time (UTC+2)</x:v>
      </x:c>
      <x:c r="K58" s="12" t="str"/>
      <x:c r="L58" s="12" t="str">
        <x:v>https://events.linuxfoundation.org/kubecon-cloudnativecon-europe/co-located-events/cfp-colocated-events/</x:v>
      </x:c>
    </x:row>
    <x:row r="59">
      <x:c r="A59" s="18" t="n">
        <x:v>46313.5</x:v>
      </x:c>
      <x:c r="B59" s="12" t="str">
        <x:v>23:59</x:v>
      </x:c>
      <x:c r="C59" s="12" t="str">
        <x:v>CET (UTC+2)</x:v>
      </x:c>
      <x:c r="D59" s="12" t="str">
        <x:v>cfp_deadline</x:v>
      </x:c>
      <x:c r="E59" s="12" t="str">
        <x:v>confirmed_as_stated</x:v>
      </x:c>
      <x:c r="F59" s="12" t="str">
        <x:v>Agentics Day: MCP + Agents Europe</x:v>
      </x:c>
      <x:c r="G59" s="12" t="str">
        <x:v>Agentics Day: MCP + Agents Europe 2027</x:v>
      </x:c>
      <x:c r="H59" s="12" t="str">
        <x:v>open</x:v>
      </x:c>
      <x:c r="I59" s="12" t="str">
        <x:v>adaptive-systems;failure-improvement;parallelization</x:v>
      </x:c>
      <x:c r="J59" s="12" t="str">
        <x:v>Sunday, October 18, 2026 at 11:59 PM CET (UTC+2)</x:v>
      </x:c>
      <x:c r="K59" s="12" t="str">
        <x:v>Source pairs CET with UTC+2; preserve wording because CET normally denotes UTC+1. UTC follows the explicit offset, not the abbreviation.</x:v>
      </x:c>
      <x:c r="L59" s="12" t="str">
        <x:v>https://events.linuxfoundation.org/kubecon-cloudnativecon-europe/co-located-events/cfp-colocated-events/</x:v>
      </x:c>
    </x:row>
    <x:row r="60">
      <x:c r="A60" s="18" t="n">
        <x:v>46313.5</x:v>
      </x:c>
      <x:c r="B60" s="12" t="str">
        <x:v>23:59</x:v>
      </x:c>
      <x:c r="C60" s="12" t="str">
        <x:v>Central European Time (UTC+2)</x:v>
      </x:c>
      <x:c r="D60" s="12" t="str">
        <x:v>cfp_close</x:v>
      </x:c>
      <x:c r="E60" s="12" t="str">
        <x:v>exact</x:v>
      </x:c>
      <x:c r="F60" s="12" t="str">
        <x:v>Cloud Native AI + Inference Day Europe</x:v>
      </x:c>
      <x:c r="G60" s="12" t="str">
        <x:v>Cloud Native AI + Inference Day Europe 2027</x:v>
      </x:c>
      <x:c r="H60" s="12" t="str">
        <x:v>open</x:v>
      </x:c>
      <x:c r="I60" s="12" t="str">
        <x:v>adaptive-systems;retrieval</x:v>
      </x:c>
      <x:c r="J60" s="12" t="str">
        <x:v>Sunday, 18 October 2026, at 11:59pm Central European Time (UTC+2)</x:v>
      </x:c>
      <x:c r="K60" s="12" t="str"/>
      <x:c r="L60" s="12" t="str">
        <x:v>https://events.linuxfoundation.org/kubecon-cloudnativecon-europe/co-located-events/cfp-colocated-events/</x:v>
      </x:c>
    </x:row>
    <x:row r="61">
      <x:c r="A61" s="18" t="n">
        <x:v>46313.5</x:v>
      </x:c>
      <x:c r="B61" s="12" t="str">
        <x:v>23:59</x:v>
      </x:c>
      <x:c r="C61" s="12" t="str">
        <x:v>Central European Time (UTC+2)</x:v>
      </x:c>
      <x:c r="D61" s="12" t="str">
        <x:v>cfp</x:v>
      </x:c>
      <x:c r="E61" s="12" t="str">
        <x:v>confirmed</x:v>
      </x:c>
      <x:c r="F61" s="12" t="str">
        <x:v>Observability Day Europe</x:v>
      </x:c>
      <x:c r="G61" s="12" t="str">
        <x:v>Observability Day Europe 2027</x:v>
      </x:c>
      <x:c r="H61" s="12" t="str">
        <x:v>open</x:v>
      </x:c>
      <x:c r="I61" s="12" t="str">
        <x:v>benchmarks</x:v>
      </x:c>
      <x:c r="J61" s="12" t="str">
        <x:v>October 18, 2026 at 23:59 Central European Time (UTC+2)</x:v>
      </x:c>
      <x:c r="K61" s="12" t="str"/>
      <x:c r="L61" s="12" t="str">
        <x:v>https://events.linuxfoundation.org/kubecon-cloudnativecon-europe/co-located-events/cfp-colocated-events/</x:v>
      </x:c>
    </x:row>
    <x:row r="62">
      <x:c r="A62" s="18" t="n">
        <x:v>46313.5</x:v>
      </x:c>
      <x:c r="B62" s="12" t="str">
        <x:v>23:59</x:v>
      </x:c>
      <x:c r="C62" s="12" t="str">
        <x:v>Central European Time (UTC+2)</x:v>
      </x:c>
      <x:c r="D62" s="12" t="str">
        <x:v>cfp_close</x:v>
      </x:c>
      <x:c r="E62" s="12" t="str">
        <x:v>exact</x:v>
      </x:c>
      <x:c r="F62" s="12" t="str">
        <x:v>Platform Engineering Day Europe</x:v>
      </x:c>
      <x:c r="G62" s="12" t="str">
        <x:v>Platform Engineering Day Europe 2027</x:v>
      </x:c>
      <x:c r="H62" s="12" t="str">
        <x:v>open</x:v>
      </x:c>
      <x:c r="I62" s="12" t="str">
        <x:v>adaptive-systems;retrieval</x:v>
      </x:c>
      <x:c r="J62" s="12" t="str">
        <x:v>Sunday, 18 October 2026, at 11:59pm Central European Time (UTC+2)</x:v>
      </x:c>
      <x:c r="K62" s="12" t="str"/>
      <x:c r="L62" s="12" t="str">
        <x:v>https://events.linuxfoundation.org/kubecon-cloudnativecon-europe/co-located-events/cfp-colocated-events/</x:v>
      </x:c>
    </x:row>
    <x:row r="63">
      <x:c r="A63" s="18" t="n">
        <x:v>46314.5</x:v>
      </x:c>
      <x:c r="B63" s="12" t="str"/>
      <x:c r="C63" s="12" t="str"/>
      <x:c r="D63" s="12" t="str">
        <x:v>cfp_deadline</x:v>
      </x:c>
      <x:c r="E63" s="12" t="str">
        <x:v>exact</x:v>
      </x:c>
      <x:c r="F63" s="12" t="str">
        <x:v>IEEE Global Engineering Education Conference (EDUCON)</x:v>
      </x:c>
      <x:c r="G63" s="12" t="str">
        <x:v>IEEE EDUCON 2027</x:v>
      </x:c>
      <x:c r="H63" s="12" t="str">
        <x:v>open</x:v>
      </x:c>
      <x:c r="I63" s="12" t="str">
        <x:v>evidence-learning</x:v>
      </x:c>
      <x:c r="J63" s="12" t="str">
        <x:v>Abstract submission deadline: 19 October 2026</x:v>
      </x:c>
      <x:c r="K63" s="12" t="str">
        <x:v>Official Education Society page headline and body agree on October 19.</x:v>
      </x:c>
      <x:c r="L63" s="12" t="str">
        <x:v>https://ieee-edusociety.org/post/educon-2027-call-abstracts</x:v>
      </x:c>
    </x:row>
    <x:row r="64">
      <x:c r="A64" s="18" t="n">
        <x:v>46314.5</x:v>
      </x:c>
      <x:c r="B64" s="12" t="str">
        <x:v>23:59</x:v>
      </x:c>
      <x:c r="C64" s="12" t="str">
        <x:v>PT</x:v>
      </x:c>
      <x:c r="D64" s="12" t="str">
        <x:v>cfp_deadline</x:v>
      </x:c>
      <x:c r="E64" s="12" t="str">
        <x:v>exact</x:v>
      </x:c>
      <x:c r="F64" s="12" t="str">
        <x:v>WSCUC Accreditation Resource Conference</x:v>
      </x:c>
      <x:c r="G64" s="12" t="str">
        <x:v>ARC2027</x:v>
      </x:c>
      <x:c r="H64" s="12" t="str">
        <x:v>open</x:v>
      </x:c>
      <x:c r="I64" s="12" t="str">
        <x:v>evidence-learning</x:v>
      </x:c>
      <x:c r="J64" s="12" t="str">
        <x:v>October 19, 2026 at 11:59 p.m. PT</x:v>
      </x:c>
      <x:c r="K64" s="12" t="str">
        <x:v>UTC conversion uses PDT in effect on this date.</x:v>
      </x:c>
      <x:c r="L64" s="12" t="str">
        <x:v>https://www.wscuc.org/arc2027cfp/</x:v>
      </x:c>
    </x:row>
    <x:row r="65">
      <x:c r="A65" s="18" t="n">
        <x:v>46315.5</x:v>
      </x:c>
      <x:c r="B65" s="12" t="str"/>
      <x:c r="C65" s="12" t="str"/>
      <x:c r="D65" s="12" t="str">
        <x:v>notification</x:v>
      </x:c>
      <x:c r="E65" s="12" t="str">
        <x:v>official-conflict</x:v>
      </x:c>
      <x:c r="F65" s="12" t="str">
        <x:v>AgenticCon</x:v>
      </x:c>
      <x:c r="G65" s="12" t="str">
        <x:v>AgenticCon 2027</x:v>
      </x:c>
      <x:c r="H65" s="12" t="str">
        <x:v>open</x:v>
      </x:c>
      <x:c r="I65" s="12" t="str">
        <x:v>retrieval</x:v>
      </x:c>
      <x:c r="J65" s="12" t="str">
        <x:v>October 20</x:v>
      </x:c>
      <x:c r="K65" s="12" t="str">
        <x:v>Same page footer says November 17</x:v>
      </x:c>
      <x:c r="L65" s="12" t="str">
        <x:v>https://agenticcon.com/cfp</x:v>
      </x:c>
    </x:row>
    <x:row r="66">
      <x:c r="A66" s="18" t="n">
        <x:v>46315.5</x:v>
      </x:c>
      <x:c r="B66" s="12" t="str"/>
      <x:c r="C66" s="12" t="str"/>
      <x:c r="D66" s="12" t="str">
        <x:v>notification</x:v>
      </x:c>
      <x:c r="E66" s="12" t="str">
        <x:v>confirmed</x:v>
      </x:c>
      <x:c r="F66" s="12" t="str">
        <x:v>PlatformCon Live Day San Francisco</x:v>
      </x:c>
      <x:c r="G66" s="12" t="str">
        <x:v>PlatformCon Live Day San Francisco 2027</x:v>
      </x:c>
      <x:c r="H66" s="12" t="str">
        <x:v>open</x:v>
      </x:c>
      <x:c r="I66" s="12" t="str">
        <x:v>failure-improvement;free-tier;parallelization;retrieval</x:v>
      </x:c>
      <x:c r="J66" s="12" t="str">
        <x:v>October 20, 2026</x:v>
      </x:c>
      <x:c r="K66" s="12" t="str"/>
      <x:c r="L66" s="12" t="str">
        <x:v>https://sessionize.com/platformcon-live-day-san-francisco/</x:v>
      </x:c>
    </x:row>
    <x:row r="67">
      <x:c r="A67" s="18" t="n">
        <x:v>46315.5</x:v>
      </x:c>
      <x:c r="B67" s="12" t="str"/>
      <x:c r="C67" s="12" t="str"/>
      <x:c r="D67" s="12" t="str">
        <x:v>notification</x:v>
      </x:c>
      <x:c r="E67" s="12" t="str">
        <x:v>exact-from-edition-context</x:v>
      </x:c>
      <x:c r="F67" s="12" t="str">
        <x:v>PlatformCon Live Day San Francisco</x:v>
      </x:c>
      <x:c r="G67" s="12" t="str">
        <x:v>PlatformCon Live Day San Francisco 2027</x:v>
      </x:c>
      <x:c r="H67" s="12" t="str">
        <x:v>open</x:v>
      </x:c>
      <x:c r="I67" s="12" t="str">
        <x:v>failure-improvement;free-tier;parallelization;retrieval</x:v>
      </x:c>
      <x:c r="J67" s="12" t="str">
        <x:v>October 20</x:v>
      </x:c>
      <x:c r="K67" s="12" t="str"/>
      <x:c r="L67" s="12" t="str">
        <x:v>https://sanfrancisco.platformcon.com/cfp</x:v>
      </x:c>
    </x:row>
    <x:row r="68">
      <x:c r="A68" s="18" t="n">
        <x:v>46315.5</x:v>
      </x:c>
      <x:c r="B68" s="12" t="str"/>
      <x:c r="C68" s="12" t="str"/>
      <x:c r="D68" s="12" t="str">
        <x:v>cfp_deadline</x:v>
      </x:c>
      <x:c r="E68" s="12" t="str">
        <x:v>exact-context</x:v>
      </x:c>
      <x:c r="F68" s="12" t="str">
        <x:v>Sparking Success Faculty Development Conference</x:v>
      </x:c>
      <x:c r="G68" s="12" t="str">
        <x:v>Sparking Success 2027</x:v>
      </x:c>
      <x:c r="H68" s="12" t="str">
        <x:v>open</x:v>
      </x:c>
      <x:c r="I68" s="12" t="str">
        <x:v>evidence-learning</x:v>
      </x:c>
      <x:c r="J68" s="12" t="str">
        <x:v>Deadline to Apply is Tuesday, October 20</x:v>
      </x:c>
      <x:c r="K68" s="12" t="str">
        <x:v>Year omitted on page; normalized from the surrounding 2026-2027 academic-year heading and weekday match.</x:v>
      </x:c>
      <x:c r="L68" s="12" t="str">
        <x:v>https://celt.tulane.edu/sparking-success</x:v>
      </x:c>
    </x:row>
    <x:row r="69">
      <x:c r="A69" s="18" t="n">
        <x:v>46318.5</x:v>
      </x:c>
      <x:c r="B69" s="12" t="str">
        <x:v>23:59</x:v>
      </x:c>
      <x:c r="C69" s="12" t="str">
        <x:v>CET</x:v>
      </x:c>
      <x:c r="D69" s="12" t="str">
        <x:v>cfp_close</x:v>
      </x:c>
      <x:c r="E69" s="12" t="str">
        <x:v>exact</x:v>
      </x:c>
      <x:c r="F69" s="12" t="str">
        <x:v>AOmA / Adaptive Organizations meet Architecture</x:v>
      </x:c>
      <x:c r="G69" s="12" t="str">
        <x:v>AOmA 2027</x:v>
      </x:c>
      <x:c r="H69" s="12" t="str">
        <x:v>open</x:v>
      </x:c>
      <x:c r="I69" s="12" t="str">
        <x:v>adaptive-systems;retrieval</x:v>
      </x:c>
      <x:c r="J69" s="12" t="str">
        <x:v>October 23, 2026, 23:59 CET</x:v>
      </x:c>
      <x:c r="K69" s="12" t="str">
        <x:v>A later organizer LinkedIn post said November 30, 2026. Current official CFP page is treated as authoritative, but the conflict must be rechecked before submission.</x:v>
      </x:c>
      <x:c r="L69" s="12" t="str">
        <x:v>https://aoma-conference.com/2027/cfp/</x:v>
      </x:c>
    </x:row>
    <x:row r="70">
      <x:c r="A70" s="18" t="n">
        <x:v>46318.5</x:v>
      </x:c>
      <x:c r="B70" s="12" t="str">
        <x:v>23:59</x:v>
      </x:c>
      <x:c r="C70" s="12" t="str">
        <x:v>CET</x:v>
      </x:c>
      <x:c r="D70" s="12" t="str">
        <x:v>cfp_close</x:v>
      </x:c>
      <x:c r="E70" s="12" t="str">
        <x:v>exact-as-stated</x:v>
      </x:c>
      <x:c r="F70" s="12" t="str">
        <x:v>AOmA / Adaptive Organizations meet Architecture</x:v>
      </x:c>
      <x:c r="G70" s="12" t="str">
        <x:v>AOmA 2027</x:v>
      </x:c>
      <x:c r="H70" s="12" t="str">
        <x:v>open</x:v>
      </x:c>
      <x:c r="I70" s="12" t="str">
        <x:v>adaptive-systems;retrieval</x:v>
      </x:c>
      <x:c r="J70" s="12" t="str">
        <x:v>October 23, 2026, 23:59 CET</x:v>
      </x:c>
      <x:c r="K70" s="12" t="str">
        <x:v>UTC not normalized because Berlin normally observes CEST on this date but source explicitly says CET</x:v>
      </x:c>
      <x:c r="L70" s="12" t="str">
        <x:v>https://aoma-conference.com/2027/cfp/</x:v>
      </x:c>
    </x:row>
    <x:row r="71">
      <x:c r="A71" s="18" t="n">
        <x:v>46325.5</x:v>
      </x:c>
      <x:c r="B71" s="12" t="str"/>
      <x:c r="C71" s="12" t="str">
        <x:v>AoE (UTC-12h)</x:v>
      </x:c>
      <x:c r="D71" s="12" t="str">
        <x:v>abstract_submission</x:v>
      </x:c>
      <x:c r="E71" s="12" t="str">
        <x:v>exact</x:v>
      </x:c>
      <x:c r="F71" s="12" t="str">
        <x:v>IEEE International Conference on Software Architecture</x:v>
      </x:c>
      <x:c r="G71" s="12" t="str">
        <x:v>ICSA 2027 Software Architecture in Practice</x:v>
      </x:c>
      <x:c r="H71" s="12" t="str">
        <x:v>open</x:v>
      </x:c>
      <x:c r="I71" s="12" t="str">
        <x:v>adaptive-systems</x:v>
      </x:c>
      <x:c r="J71" s="12" t="str">
        <x:v>Fri 30 Oct 2026; dates AoE (UTC-12h)</x:v>
      </x:c>
      <x:c r="K71" s="12" t="str">
        <x:v>No time of day stated on this track page.</x:v>
      </x:c>
      <x:c r="L71" s="12" t="str">
        <x:v>https://conf.researchr.org/track/icsa-2027/icsa-2027-software-architecture-in-practice-track</x:v>
      </x:c>
    </x:row>
    <x:row r="72">
      <x:c r="A72" s="18" t="n">
        <x:v>46325.5</x:v>
      </x:c>
      <x:c r="B72" s="12" t="str"/>
      <x:c r="C72" s="12" t="str"/>
      <x:c r="D72" s="12" t="str">
        <x:v>cfp</x:v>
      </x:c>
      <x:c r="E72" s="12" t="str">
        <x:v>confirmed</x:v>
      </x:c>
      <x:c r="F72" s="12" t="str">
        <x:v>Taqelah Testing Conference</x:v>
      </x:c>
      <x:c r="G72" s="12" t="str">
        <x:v>Taqelah Testing Conference 2027</x:v>
      </x:c>
      <x:c r="H72" s="12" t="str">
        <x:v>open</x:v>
      </x:c>
      <x:c r="I72" s="12" t="str">
        <x:v>benchmarks;failure-improvement;parallelization</x:v>
      </x:c>
      <x:c r="J72" s="12" t="str">
        <x:v>Friday, 30 October 2026</x:v>
      </x:c>
      <x:c r="K72" s="12" t="str"/>
      <x:c r="L72" s="12" t="str">
        <x:v>https://ttc.taqelah.sg/</x:v>
      </x:c>
    </x:row>
    <x:row r="73">
      <x:c r="A73" s="18" t="n">
        <x:v>46325.5</x:v>
      </x:c>
      <x:c r="B73" s="12" t="str"/>
      <x:c r="C73" s="12" t="str"/>
      <x:c r="D73" s="12" t="str">
        <x:v>cfp_deadline</x:v>
      </x:c>
      <x:c r="E73" s="12" t="str">
        <x:v>confirmed</x:v>
      </x:c>
      <x:c r="F73" s="12" t="str">
        <x:v>Taqelah Testing Conference</x:v>
      </x:c>
      <x:c r="G73" s="12" t="str">
        <x:v>Taqelah Testing Conference 2027</x:v>
      </x:c>
      <x:c r="H73" s="12" t="str">
        <x:v>open</x:v>
      </x:c>
      <x:c r="I73" s="12" t="str">
        <x:v>benchmarks;failure-improvement;parallelization</x:v>
      </x:c>
      <x:c r="J73" s="12" t="str">
        <x:v>Friday, 30 October 2026</x:v>
      </x:c>
      <x:c r="K73" s="12" t="str">
        <x:v>No time or timezone stated.</x:v>
      </x:c>
      <x:c r="L73" s="12" t="str">
        <x:v>https://ttc.taqelah.sg/</x:v>
      </x:c>
    </x:row>
    <x:row r="74">
      <x:c r="A74" s="18" t="n">
        <x:v>46326.5</x:v>
      </x:c>
      <x:c r="B74" s="12" t="str"/>
      <x:c r="C74" s="12" t="str"/>
      <x:c r="D74" s="12" t="str">
        <x:v>cfp_deadline</x:v>
      </x:c>
      <x:c r="E74" s="12" t="str">
        <x:v>exact</x:v>
      </x:c>
      <x:c r="F74" s="12" t="str">
        <x:v>INQAAHE Biennial Conference</x:v>
      </x:c>
      <x:c r="G74" s="12" t="str">
        <x:v>INQAAHE Conference 2027</x:v>
      </x:c>
      <x:c r="H74" s="12" t="str">
        <x:v>open</x:v>
      </x:c>
      <x:c r="I74" s="12" t="str">
        <x:v>evidence-learning</x:v>
      </x:c>
      <x:c r="J74" s="12" t="str">
        <x:v>31 October 2026</x:v>
      </x:c>
      <x:c r="K74" s="12" t="str"/>
      <x:c r="L74" s="12" t="str">
        <x:v>https://inqaahe2027-doha.org/call-for-proposals/</x:v>
      </x:c>
    </x:row>
    <x:row r="75">
      <x:c r="A75" s="18" t="n">
        <x:v>46326.5</x:v>
      </x:c>
      <x:c r="B75" s="12" t="str">
        <x:v>23:59</x:v>
      </x:c>
      <x:c r="C75" s="12" t="str">
        <x:v>West Europe Standard Time UTC+01:00</x:v>
      </x:c>
      <x:c r="D75" s="12" t="str">
        <x:v>cfp_deadline</x:v>
      </x:c>
      <x:c r="E75" s="12" t="str">
        <x:v>confirmed</x:v>
      </x:c>
      <x:c r="F75" s="12" t="str">
        <x:v>Swiss Testing Day</x:v>
      </x:c>
      <x:c r="G75" s="12" t="str">
        <x:v>Swiss Testing Day 2027</x:v>
      </x:c>
      <x:c r="H75" s="12" t="str">
        <x:v>open</x:v>
      </x:c>
      <x:c r="I75" s="12" t="str">
        <x:v>failure-improvement;parallelization</x:v>
      </x:c>
      <x:c r="J75" s="12" t="str">
        <x:v>31 Oct 2026 11:59 PM West Europe Standard Time UTC+01:00</x:v>
      </x:c>
      <x:c r="K75" s="12" t="str"/>
      <x:c r="L75" s="12" t="str">
        <x:v>https://sessionize.com/swiss-testing-day-2027/</x:v>
      </x:c>
    </x:row>
    <x:row r="76">
      <x:c r="A76" s="18" t="n">
        <x:v>46327.5</x:v>
      </x:c>
      <x:c r="B76" s="12" t="str"/>
      <x:c r="C76" s="12" t="str"/>
      <x:c r="D76" s="12" t="str">
        <x:v>cfp_close</x:v>
      </x:c>
      <x:c r="E76" s="12" t="str">
        <x:v>official-conflict</x:v>
      </x:c>
      <x:c r="F76" s="12" t="str">
        <x:v>DevOpsDays Los Angeles</x:v>
      </x:c>
      <x:c r="G76" s="12" t="str">
        <x:v>DevOpsDays Los Angeles 2027</x:v>
      </x:c>
      <x:c r="H76" s="12" t="str">
        <x:v>conflicting-official-pages</x:v>
      </x:c>
      <x:c r="I76" s="12" t="str">
        <x:v>free-tier;retrieval</x:v>
      </x:c>
      <x:c r="J76" s="12" t="str">
        <x:v>closes 2026-11-01 on global speaking index</x:v>
      </x:c>
      <x:c r="K76" s="12" t="str">
        <x:v>Local official propose page says CFP TBD; deadline retained but cannot support submission until form/status reconciled</x:v>
      </x:c>
      <x:c r="L76" s="12" t="str">
        <x:v>https://devopsdays.org/speaking/</x:v>
      </x:c>
    </x:row>
    <x:row r="77">
      <x:c r="A77" s="18" t="n">
        <x:v>46327.5</x:v>
      </x:c>
      <x:c r="B77" s="12" t="str"/>
      <x:c r="C77" s="12" t="str"/>
      <x:c r="D77" s="12" t="str">
        <x:v>cfp_close</x:v>
      </x:c>
      <x:c r="E77" s="12" t="str">
        <x:v>official-conflict</x:v>
      </x:c>
      <x:c r="F77" s="12" t="str">
        <x:v>DevOpsDays Los Angeles</x:v>
      </x:c>
      <x:c r="G77" s="12" t="str">
        <x:v>DevOpsDays Los Angeles 2027</x:v>
      </x:c>
      <x:c r="H77" s="12" t="str">
        <x:v>conflicting-official-pages</x:v>
      </x:c>
      <x:c r="I77" s="12" t="str">
        <x:v>free-tier;retrieval</x:v>
      </x:c>
      <x:c r="J77" s="12" t="str">
        <x:v>closes 2026-11-01 on global speaking index</x:v>
      </x:c>
      <x:c r="K77" s="12" t="str">
        <x:v>Local official page says CFP TBD</x:v>
      </x:c>
      <x:c r="L77" s="12" t="str">
        <x:v>https://devopsdays.org/speaking/</x:v>
      </x:c>
    </x:row>
    <x:row r="78">
      <x:c r="A78" s="18" t="n">
        <x:v>46327.5</x:v>
      </x:c>
      <x:c r="B78" s="12" t="str">
        <x:v>23:59</x:v>
      </x:c>
      <x:c r="C78" s="12" t="str">
        <x:v>PT</x:v>
      </x:c>
      <x:c r="D78" s="12" t="str">
        <x:v>cfp_close</x:v>
      </x:c>
      <x:c r="E78" s="12" t="str">
        <x:v>official-conflict</x:v>
      </x:c>
      <x:c r="F78" s="12" t="str">
        <x:v>AgenticCon</x:v>
      </x:c>
      <x:c r="G78" s="12" t="str">
        <x:v>AgenticCon 2027</x:v>
      </x:c>
      <x:c r="H78" s="12" t="str">
        <x:v>open</x:v>
      </x:c>
      <x:c r="I78" s="12" t="str">
        <x:v>retrieval</x:v>
      </x:c>
      <x:c r="J78" s="12" t="str">
        <x:v>Submissions close Nov 1, 11:59 PM PT</x:v>
      </x:c>
      <x:c r="K78" s="12" t="str">
        <x:v>Same page key-dates section says October 4, 11:59 PM PT</x:v>
      </x:c>
      <x:c r="L78" s="12" t="str">
        <x:v>https://agenticcon.com/cfp</x:v>
      </x:c>
    </x:row>
    <x:row r="79">
      <x:c r="A79" s="18" t="n">
        <x:v>46328.5</x:v>
      </x:c>
      <x:c r="B79" s="12" t="str"/>
      <x:c r="C79" s="12" t="str"/>
      <x:c r="D79" s="12" t="str">
        <x:v>notification</x:v>
      </x:c>
      <x:c r="E79" s="12" t="str">
        <x:v>exact-week</x:v>
      </x:c>
      <x:c r="F79" s="12" t="str">
        <x:v>UPCEA Digital Teaching &amp; Learning Conference</x:v>
      </x:c>
      <x:c r="G79" s="12" t="str">
        <x:v>2027 UPCEA Digital Teaching &amp; Learning Conference</x:v>
      </x:c>
      <x:c r="H79" s="12" t="str">
        <x:v>open</x:v>
      </x:c>
      <x:c r="I79" s="12" t="str">
        <x:v>evidence-learning;skeptic-education</x:v>
      </x:c>
      <x:c r="J79" s="12" t="str">
        <x:v>Week of November 2</x:v>
      </x:c>
      <x:c r="K79" s="12" t="str">
        <x:v>Week only; ISO stores the first named date, not a promised notification day.</x:v>
      </x:c>
      <x:c r="L79" s="12" t="str">
        <x:v>https://conferences.upcea.edu/DTL2027/proposals.html</x:v>
      </x:c>
    </x:row>
    <x:row r="80">
      <x:c r="A80" s="18" t="n">
        <x:v>46330.5</x:v>
      </x:c>
      <x:c r="B80" s="12" t="str"/>
      <x:c r="C80" s="12" t="str">
        <x:v>AoE (UTC-12h)</x:v>
      </x:c>
      <x:c r="D80" s="12" t="str">
        <x:v>proposal_submission</x:v>
      </x:c>
      <x:c r="E80" s="12" t="str">
        <x:v>exact</x:v>
      </x:c>
      <x:c r="F80" s="12" t="str">
        <x:v>IEEE International Conference on Software Architecture</x:v>
      </x:c>
      <x:c r="G80" s="12" t="str">
        <x:v>ICSA 2027 Software Architecture in Practice</x:v>
      </x:c>
      <x:c r="H80" s="12" t="str">
        <x:v>open</x:v>
      </x:c>
      <x:c r="I80" s="12" t="str">
        <x:v>adaptive-systems</x:v>
      </x:c>
      <x:c r="J80" s="12" t="str">
        <x:v>Wed 4 Nov 2026; dates AoE (UTC-12h)</x:v>
      </x:c>
      <x:c r="K80" s="12" t="str">
        <x:v>No time of day stated on this track page.</x:v>
      </x:c>
      <x:c r="L80" s="12" t="str">
        <x:v>https://conf.researchr.org/track/icsa-2027/icsa-2027-software-architecture-in-practice-track</x:v>
      </x:c>
    </x:row>
    <x:row r="81">
      <x:c r="A81" s="18" t="n">
        <x:v>46331.5</x:v>
      </x:c>
      <x:c r="B81" s="12" t="str"/>
      <x:c r="C81" s="12" t="str"/>
      <x:c r="D81" s="12" t="str">
        <x:v>notification</x:v>
      </x:c>
      <x:c r="E81" s="12" t="str">
        <x:v>confirmed</x:v>
      </x:c>
      <x:c r="F81" s="12" t="str">
        <x:v>AI Festival</x:v>
      </x:c>
      <x:c r="G81" s="12" t="str">
        <x:v>AI Festival 2027</x:v>
      </x:c>
      <x:c r="H81" s="12" t="str">
        <x:v>open</x:v>
      </x:c>
      <x:c r="I81" s="12" t="str">
        <x:v>judgment;product-engineering</x:v>
      </x:c>
      <x:c r="J81" s="12" t="str">
        <x:v>Nov. 5th 2026, feedback to all applicants</x:v>
      </x:c>
      <x:c r="K81" s="12" t="str"/>
      <x:c r="L81" s="12" t="str">
        <x:v>https://en.aifestival.it/call/speaker/</x:v>
      </x:c>
    </x:row>
    <x:row r="82">
      <x:c r="A82" s="18" t="n">
        <x:v>46332.5</x:v>
      </x:c>
      <x:c r="B82" s="12" t="str"/>
      <x:c r="C82" s="12" t="str"/>
      <x:c r="D82" s="12" t="str">
        <x:v>visa_letter_request</x:v>
      </x:c>
      <x:c r="E82" s="12" t="str">
        <x:v>exact</x:v>
      </x:c>
      <x:c r="F82" s="12" t="str">
        <x:v>CHEA Annual Conference</x:v>
      </x:c>
      <x:c r="G82" s="12" t="str">
        <x:v>CHEA 2027 Annual Conference</x:v>
      </x:c>
      <x:c r="H82" s="12" t="str">
        <x:v>open</x:v>
      </x:c>
      <x:c r="I82" s="12" t="str">
        <x:v>evidence-learning;skeptic-education</x:v>
      </x:c>
      <x:c r="J82" s="12" t="str">
        <x:v>before or by November 6, 2026</x:v>
      </x:c>
      <x:c r="K82" s="12" t="str">
        <x:v>Only relevant if an invitation letter is needed</x:v>
      </x:c>
      <x:c r="L82" s="12" t="str">
        <x:v>https://www.chea.org/chea-2027-annual-conference-call-proposals</x:v>
      </x:c>
    </x:row>
    <x:row r="83">
      <x:c r="A83" s="18" t="n">
        <x:v>46332.5</x:v>
      </x:c>
      <x:c r="B83" s="12" t="str"/>
      <x:c r="C83" s="12" t="str"/>
      <x:c r="D83" s="12" t="str">
        <x:v>cfp_deadline</x:v>
      </x:c>
      <x:c r="E83" s="12" t="str">
        <x:v>exact</x:v>
      </x:c>
      <x:c r="F83" s="12" t="str">
        <x:v>Florida Online Innovation Summit</x:v>
      </x:c>
      <x:c r="G83" s="12" t="str">
        <x:v>Florida Online Innovation Summit 2027</x:v>
      </x:c>
      <x:c r="H83" s="12" t="str">
        <x:v>announced-not-open</x:v>
      </x:c>
      <x:c r="I83" s="12" t="str">
        <x:v>skeptic-education</x:v>
      </x:c>
      <x:c r="J83" s="12" t="str">
        <x:v>November 6, 2026</x:v>
      </x:c>
      <x:c r="K83" s="12" t="str">
        <x:v>No time zone stated</x:v>
      </x:c>
      <x:c r="L83" s="12" t="str">
        <x:v>https://digitallearning.ucf.edu/ilab/innovation-summit/proposals/</x:v>
      </x:c>
    </x:row>
    <x:row r="84">
      <x:c r="A84" s="18" t="n">
        <x:v>46336.5</x:v>
      </x:c>
      <x:c r="B84" s="12" t="str">
        <x:v>23:59</x:v>
      </x:c>
      <x:c r="C84" s="12" t="str">
        <x:v>ET</x:v>
      </x:c>
      <x:c r="D84" s="12" t="str">
        <x:v>cfp_deadline</x:v>
      </x:c>
      <x:c r="E84" s="12" t="str">
        <x:v>exact</x:v>
      </x:c>
      <x:c r="F84" s="12" t="str">
        <x:v>OLC Innovate</x:v>
      </x:c>
      <x:c r="G84" s="12" t="str">
        <x:v>OLC Innovate 2027</x:v>
      </x:c>
      <x:c r="H84" s="12" t="str">
        <x:v>announced-not-open</x:v>
      </x:c>
      <x:c r="I84" s="12" t="str">
        <x:v>evidence-learning;skeptic-education</x:v>
      </x:c>
      <x:c r="J84" s="12" t="str">
        <x:v>November 10, 2026 (by 11:59pm ET)</x:v>
      </x:c>
      <x:c r="K84" s="12" t="str">
        <x:v>UTC conversion uses EST in effect on this date.</x:v>
      </x:c>
      <x:c r="L84" s="12" t="str">
        <x:v>https://onlinelearningconsortium.org/conferences/olc-innovate2027/present/</x:v>
      </x:c>
    </x:row>
    <x:row r="85">
      <x:c r="A85" s="18" t="n">
        <x:v>46336.5</x:v>
      </x:c>
      <x:c r="B85" s="12" t="str">
        <x:v>23:59</x:v>
      </x:c>
      <x:c r="C85" s="12" t="str">
        <x:v>ET</x:v>
      </x:c>
      <x:c r="D85" s="12" t="str">
        <x:v>cfp_deadline</x:v>
      </x:c>
      <x:c r="E85" s="12" t="str">
        <x:v>exact</x:v>
      </x:c>
      <x:c r="F85" s="12" t="str">
        <x:v>OLC Innovate</x:v>
      </x:c>
      <x:c r="G85" s="12" t="str">
        <x:v>OLC Innovate 2027</x:v>
      </x:c>
      <x:c r="H85" s="12" t="str">
        <x:v>announced-not-open</x:v>
      </x:c>
      <x:c r="I85" s="12" t="str">
        <x:v>evidence-learning;skeptic-education</x:v>
      </x:c>
      <x:c r="J85" s="12" t="str">
        <x:v>November 10, 2026 (by 11:59pm ET)</x:v>
      </x:c>
      <x:c r="K85" s="12" t="str">
        <x:v>UTC conversion assumes Eastern Standard Time</x:v>
      </x:c>
      <x:c r="L85" s="12" t="str">
        <x:v>https://onlinelearningconsortium.org/conferences/olc-innovate2027/present/</x:v>
      </x:c>
    </x:row>
    <x:row r="86">
      <x:c r="A86" s="18" t="n">
        <x:v>46337.5</x:v>
      </x:c>
      <x:c r="B86" s="12" t="str">
        <x:v>16:00</x:v>
      </x:c>
      <x:c r="C86" s="12" t="str">
        <x:v>GMT</x:v>
      </x:c>
      <x:c r="D86" s="12" t="str">
        <x:v>cfp_deadline</x:v>
      </x:c>
      <x:c r="E86" s="12" t="str">
        <x:v>exact</x:v>
      </x:c>
      <x:c r="F86" s="12" t="str">
        <x:v>LILAC</x:v>
      </x:c>
      <x:c r="G86" s="12" t="str">
        <x:v>LILAC 2027</x:v>
      </x:c>
      <x:c r="H86" s="12" t="str">
        <x:v>announced-not-open</x:v>
      </x:c>
      <x:c r="I86" s="12" t="str">
        <x:v>evidence-learning</x:v>
      </x:c>
      <x:c r="J86" s="12" t="str">
        <x:v>11 November 2026 (16:00 GMT)</x:v>
      </x:c>
      <x:c r="K86" s="12" t="str"/>
      <x:c r="L86" s="12" t="str">
        <x:v>https://www.lilacconference.com/lilac-2027/call-for-presentations-1</x:v>
      </x:c>
    </x:row>
    <x:row r="87">
      <x:c r="A87" s="18" t="n">
        <x:v>46338.5</x:v>
      </x:c>
      <x:c r="B87" s="12" t="str"/>
      <x:c r="C87" s="12" t="str"/>
      <x:c r="D87" s="12" t="str">
        <x:v>notification</x:v>
      </x:c>
      <x:c r="E87" s="12" t="str">
        <x:v>confirmed</x:v>
      </x:c>
      <x:c r="F87" s="12" t="str">
        <x:v>APQC CONNECT</x:v>
      </x:c>
      <x:c r="G87" s="12" t="str">
        <x:v>APQC CONNECT 2027</x:v>
      </x:c>
      <x:c r="H87" s="12" t="str">
        <x:v>open</x:v>
      </x:c>
      <x:c r="I87" s="12" t="str">
        <x:v>judgment;product-engineering</x:v>
      </x:c>
      <x:c r="J87" s="12" t="str">
        <x:v>November 12, 2026</x:v>
      </x:c>
      <x:c r="K87" s="12" t="str"/>
      <x:c r="L87" s="12" t="str">
        <x:v>https://www.apqc.org/events/2027/apqc-conference/call-for-speakers</x:v>
      </x:c>
    </x:row>
    <x:row r="88">
      <x:c r="A88" s="18" t="n">
        <x:v>46339.5</x:v>
      </x:c>
      <x:c r="B88" s="12" t="str"/>
      <x:c r="C88" s="12" t="str"/>
      <x:c r="D88" s="12" t="str">
        <x:v>cfp_advance_deadline</x:v>
      </x:c>
      <x:c r="E88" s="12" t="str">
        <x:v>exact</x:v>
      </x:c>
      <x:c r="F88" s="12" t="str">
        <x:v>Honolulu Education Conference</x:v>
      </x:c>
      <x:c r="G88" s="12" t="str">
        <x:v>Honolulu Education Conference 2027</x:v>
      </x:c>
      <x:c r="H88" s="12" t="str">
        <x:v>open</x:v>
      </x:c>
      <x:c r="I88" s="12" t="str">
        <x:v>evidence-learning;skeptic-education</x:v>
      </x:c>
      <x:c r="J88" s="12" t="str">
        <x:v>Friday, November 13, 2026</x:v>
      </x:c>
      <x:c r="K88" s="12" t="str">
        <x:v>This is explicitly an advance deadline, not necessarily final close</x:v>
      </x:c>
      <x:c r="L88" s="12" t="str">
        <x:v>https://intesda.org/education-conference/</x:v>
      </x:c>
    </x:row>
    <x:row r="89">
      <x:c r="A89" s="18" t="n">
        <x:v>46339.5</x:v>
      </x:c>
      <x:c r="B89" s="12" t="str"/>
      <x:c r="C89" s="12" t="str"/>
      <x:c r="D89" s="12" t="str">
        <x:v>cfp_deadline</x:v>
      </x:c>
      <x:c r="E89" s="12" t="str">
        <x:v>exact</x:v>
      </x:c>
      <x:c r="F89" s="12" t="str">
        <x:v>Honolulu Education Conference</x:v>
      </x:c>
      <x:c r="G89" s="12" t="str">
        <x:v>Honolulu Education Conference 2027</x:v>
      </x:c>
      <x:c r="H89" s="12" t="str">
        <x:v>open</x:v>
      </x:c>
      <x:c r="I89" s="12" t="str">
        <x:v>evidence-learning;skeptic-education</x:v>
      </x:c>
      <x:c r="J89" s="12" t="str">
        <x:v>advance deadline for proposals is Friday, November 13, 2026</x:v>
      </x:c>
      <x:c r="K89" s="12" t="str">
        <x:v>Labeled advance deadline; later route not verified.</x:v>
      </x:c>
      <x:c r="L89" s="12" t="str">
        <x:v>https://intesda.org/education-conference/</x:v>
      </x:c>
    </x:row>
    <x:row r="90">
      <x:c r="A90" s="18" t="n">
        <x:v>46339.5</x:v>
      </x:c>
      <x:c r="B90" s="12" t="str"/>
      <x:c r="C90" s="12" t="str"/>
      <x:c r="D90" s="12" t="str">
        <x:v>cfp_deadline</x:v>
      </x:c>
      <x:c r="E90" s="12" t="str">
        <x:v>exact</x:v>
      </x:c>
      <x:c r="F90" s="12" t="str">
        <x:v>ISLS Annual Meeting / ICLS and CSCL</x:v>
      </x:c>
      <x:c r="G90" s="12" t="str">
        <x:v>ISLS Annual Meeting 2027</x:v>
      </x:c>
      <x:c r="H90" s="12" t="str">
        <x:v>open</x:v>
      </x:c>
      <x:c r="I90" s="12" t="str">
        <x:v>evidence-learning</x:v>
      </x:c>
      <x:c r="J90" s="12" t="str">
        <x:v>November 13, 2026: pre-conference workshop submissions due</x:v>
      </x:c>
      <x:c r="K90" s="12" t="str">
        <x:v>Workshop route requires substantial adaptation.</x:v>
      </x:c>
      <x:c r="L90" s="12" t="str">
        <x:v>https://2027.isls.org/icls-2027-call-for-proposals/</x:v>
      </x:c>
    </x:row>
    <x:row r="91">
      <x:c r="A91" s="18" t="n">
        <x:v>46341.5</x:v>
      </x:c>
      <x:c r="B91" s="12" t="str"/>
      <x:c r="C91" s="12" t="str"/>
      <x:c r="D91" s="12" t="str">
        <x:v>cfp_early_decision</x:v>
      </x:c>
      <x:c r="E91" s="12" t="str">
        <x:v>exact</x:v>
      </x:c>
      <x:c r="F91" s="12" t="str">
        <x:v>Lilly Conference Austin</x:v>
      </x:c>
      <x:c r="G91" s="12" t="str">
        <x:v>Lilly Austin 2027</x:v>
      </x:c>
      <x:c r="H91" s="12" t="str">
        <x:v>open-rolling</x:v>
      </x:c>
      <x:c r="I91" s="12" t="str">
        <x:v>evidence-learning;skeptic-education</x:v>
      </x:c>
      <x:c r="J91" s="12" t="str">
        <x:v>November 15, 2026</x:v>
      </x:c>
      <x:c r="K91" s="12" t="str">
        <x:v>Rolling review continues; early decision promises acceptance or revise-and-resubmit feedback.</x:v>
      </x:c>
      <x:c r="L91" s="12" t="str">
        <x:v>https://www.lillyconferences-tx.com/proposals</x:v>
      </x:c>
    </x:row>
    <x:row r="92">
      <x:c r="A92" s="18" t="n">
        <x:v>46341.5</x:v>
      </x:c>
      <x:c r="B92" s="12" t="str"/>
      <x:c r="C92" s="12" t="str"/>
      <x:c r="D92" s="12" t="str">
        <x:v>cfp_deadline</x:v>
      </x:c>
      <x:c r="E92" s="12" t="str">
        <x:v>exact</x:v>
      </x:c>
      <x:c r="F92" s="12" t="str">
        <x:v>Ohio State Learning Design Day</x:v>
      </x:c>
      <x:c r="G92" s="12" t="str">
        <x:v>Ohio State Learning Design Day 2027</x:v>
      </x:c>
      <x:c r="H92" s="12" t="str">
        <x:v>open</x:v>
      </x:c>
      <x:c r="I92" s="12" t="str">
        <x:v>skeptic-education</x:v>
      </x:c>
      <x:c r="J92" s="12" t="str">
        <x:v>Sunday, November 15th</x:v>
      </x:c>
      <x:c r="K92" s="12" t="str">
        <x:v>Year inferred only from 2027 edition context; no time zone stated</x:v>
      </x:c>
      <x:c r="L92" s="12" t="str">
        <x:v>https://cete.osu.edu/ohio-state-learning-design-day-call-for-proposals/</x:v>
      </x:c>
    </x:row>
    <x:row r="93">
      <x:c r="A93" s="18" t="n">
        <x:v>46341.5</x:v>
      </x:c>
      <x:c r="B93" s="12" t="str"/>
      <x:c r="C93" s="12" t="str"/>
      <x:c r="D93" s="12" t="str">
        <x:v>cfp_deadline</x:v>
      </x:c>
      <x:c r="E93" s="12" t="str">
        <x:v>exact-context</x:v>
      </x:c>
      <x:c r="F93" s="12" t="str">
        <x:v>Ohio State Learning Design Day: Fresh Ideas</x:v>
      </x:c>
      <x:c r="G93" s="12" t="str">
        <x:v>Ohio State Learning Design Day 2027</x:v>
      </x:c>
      <x:c r="H93" s="12" t="str">
        <x:v>open</x:v>
      </x:c>
      <x:c r="I93" s="12" t="str">
        <x:v>evidence-learning</x:v>
      </x:c>
      <x:c r="J93" s="12" t="str">
        <x:v>Sunday, November 15th</x:v>
      </x:c>
      <x:c r="K93" s="12" t="str">
        <x:v>Year omitted on page; normalized from 2027 symposium context and weekday match.</x:v>
      </x:c>
      <x:c r="L93" s="12" t="str">
        <x:v>https://cete.osu.edu/ohio-state-learning-design-day-call-for-proposals/</x:v>
      </x:c>
    </x:row>
    <x:row r="94">
      <x:c r="A94" s="18" t="n">
        <x:v>46343.5</x:v>
      </x:c>
      <x:c r="B94" s="12" t="str"/>
      <x:c r="C94" s="12" t="str"/>
      <x:c r="D94" s="12" t="str">
        <x:v>notification</x:v>
      </x:c>
      <x:c r="E94" s="12" t="str">
        <x:v>official-conflict</x:v>
      </x:c>
      <x:c r="F94" s="12" t="str">
        <x:v>AgenticCon</x:v>
      </x:c>
      <x:c r="G94" s="12" t="str">
        <x:v>AgenticCon 2027</x:v>
      </x:c>
      <x:c r="H94" s="12" t="str">
        <x:v>open</x:v>
      </x:c>
      <x:c r="I94" s="12" t="str">
        <x:v>retrieval</x:v>
      </x:c>
      <x:c r="J94" s="12" t="str">
        <x:v>Acceptance emails Nov 17</x:v>
      </x:c>
      <x:c r="K94" s="12" t="str">
        <x:v>Same page key-dates section says October 20</x:v>
      </x:c>
      <x:c r="L94" s="12" t="str">
        <x:v>https://agenticcon.com/cfp</x:v>
      </x:c>
    </x:row>
    <x:row r="95">
      <x:c r="A95" s="18" t="n">
        <x:v>46345.5</x:v>
      </x:c>
      <x:c r="B95" s="12" t="str">
        <x:v>23:59</x:v>
      </x:c>
      <x:c r="C95" s="12" t="str">
        <x:v>Pacific Time</x:v>
      </x:c>
      <x:c r="D95" s="12" t="str">
        <x:v>cfp</x:v>
      </x:c>
      <x:c r="E95" s="12" t="str">
        <x:v>confirmed</x:v>
      </x:c>
      <x:c r="F95" s="12" t="str">
        <x:v>SREcon Americas</x:v>
      </x:c>
      <x:c r="G95" s="12" t="str">
        <x:v>SREcon27 Americas</x:v>
      </x:c>
      <x:c r="H95" s="12" t="str">
        <x:v>open</x:v>
      </x:c>
      <x:c r="I95" s="12" t="str">
        <x:v>adaptive-systems;benchmarks;failure-improvement;parallelization;retrieval</x:v>
      </x:c>
      <x:c r="J95" s="12" t="str">
        <x:v>November 19, 2026, 11:59 pm Pacific Time</x:v>
      </x:c>
      <x:c r="K95" s="12" t="str">
        <x:v>Numeric UTC offset not stated; UTC deliberately omitted</x:v>
      </x:c>
      <x:c r="L95" s="12" t="str">
        <x:v>https://www.usenix.org/conference/srecon27americas/call-for-participation</x:v>
      </x:c>
    </x:row>
    <x:row r="96">
      <x:c r="A96" s="18" t="n">
        <x:v>46345.5</x:v>
      </x:c>
      <x:c r="B96" s="12" t="str">
        <x:v>23:59</x:v>
      </x:c>
      <x:c r="C96" s="12" t="str">
        <x:v>Pacific Time</x:v>
      </x:c>
      <x:c r="D96" s="12" t="str">
        <x:v>cfp_close</x:v>
      </x:c>
      <x:c r="E96" s="12" t="str">
        <x:v>exact</x:v>
      </x:c>
      <x:c r="F96" s="12" t="str">
        <x:v>SREcon Americas</x:v>
      </x:c>
      <x:c r="G96" s="12" t="str">
        <x:v>SREcon27 Americas</x:v>
      </x:c>
      <x:c r="H96" s="12" t="str">
        <x:v>open</x:v>
      </x:c>
      <x:c r="I96" s="12" t="str">
        <x:v>adaptive-systems;benchmarks;failure-improvement;parallelization;retrieval</x:v>
      </x:c>
      <x:c r="J96" s="12" t="str">
        <x:v>Thursday, November 19, 2026 at 11:59 pm Pacific Time</x:v>
      </x:c>
      <x:c r="K96" s="12" t="str">
        <x:v>No numeric offset was stated; UTC conversion intentionally omitted.</x:v>
      </x:c>
      <x:c r="L96" s="12" t="str">
        <x:v>https://www.usenix.org/conference/srecon27americas/call-for-participation</x:v>
      </x:c>
    </x:row>
    <x:row r="97">
      <x:c r="A97" s="18" t="n">
        <x:v>46345.5</x:v>
      </x:c>
      <x:c r="B97" s="12" t="str">
        <x:v>23:59</x:v>
      </x:c>
      <x:c r="C97" s="12" t="str">
        <x:v>Pacific Time</x:v>
      </x:c>
      <x:c r="D97" s="12" t="str">
        <x:v>cfp_close</x:v>
      </x:c>
      <x:c r="E97" s="12" t="str">
        <x:v>exact-as-stated</x:v>
      </x:c>
      <x:c r="F97" s="12" t="str">
        <x:v>SREcon Americas</x:v>
      </x:c>
      <x:c r="G97" s="12" t="str">
        <x:v>SREcon27 Americas</x:v>
      </x:c>
      <x:c r="H97" s="12" t="str">
        <x:v>open</x:v>
      </x:c>
      <x:c r="I97" s="12" t="str">
        <x:v>adaptive-systems;benchmarks;failure-improvement;parallelization;retrieval</x:v>
      </x:c>
      <x:c r="J97" s="12" t="str">
        <x:v>Thursday, November 19, 2026 at 11:59 pm Pacific Time</x:v>
      </x:c>
      <x:c r="K97" s="12" t="str"/>
      <x:c r="L97" s="12" t="str">
        <x:v>https://www.usenix.org/conference/srecon27americas/call-for-participation</x:v>
      </x:c>
    </x:row>
    <x:row r="98">
      <x:c r="A98" s="18" t="n">
        <x:v>46345.5</x:v>
      </x:c>
      <x:c r="B98" s="12" t="str">
        <x:v>23:59</x:v>
      </x:c>
      <x:c r="C98" s="12" t="str">
        <x:v>Pacific Time</x:v>
      </x:c>
      <x:c r="D98" s="12" t="str">
        <x:v>cfp_deadline</x:v>
      </x:c>
      <x:c r="E98" s="12" t="str">
        <x:v>confirmed</x:v>
      </x:c>
      <x:c r="F98" s="12" t="str">
        <x:v>SREcon Americas</x:v>
      </x:c>
      <x:c r="G98" s="12" t="str">
        <x:v>SREcon27 Americas</x:v>
      </x:c>
      <x:c r="H98" s="12" t="str">
        <x:v>open</x:v>
      </x:c>
      <x:c r="I98" s="12" t="str">
        <x:v>adaptive-systems;benchmarks;failure-improvement;parallelization;retrieval</x:v>
      </x:c>
      <x:c r="J98" s="12" t="str">
        <x:v>Thursday, November 19, 2026, 11:59 p.m. Pacific Time</x:v>
      </x:c>
      <x:c r="K98" s="12" t="str">
        <x:v>Source does not specify PST/PDT abbreviation; UTC not normalized.</x:v>
      </x:c>
      <x:c r="L98" s="12" t="str">
        <x:v>https://www.usenix.org/conference/srecon27americas/call-for-participation</x:v>
      </x:c>
    </x:row>
    <x:row r="99">
      <x:c r="A99" s="18" t="n">
        <x:v>46346.5</x:v>
      </x:c>
      <x:c r="B99" s="12" t="str"/>
      <x:c r="C99" s="12" t="str"/>
      <x:c r="D99" s="12" t="str">
        <x:v>abstract_submission</x:v>
      </x:c>
      <x:c r="E99" s="12" t="str">
        <x:v>exact</x:v>
      </x:c>
      <x:c r="F99" s="12" t="str">
        <x:v>Think!AI Summit</x:v>
      </x:c>
      <x:c r="G99" s="12" t="str">
        <x:v>Think!AI Summit 2027</x:v>
      </x:c>
      <x:c r="H99" s="12" t="str">
        <x:v>announced-not-open</x:v>
      </x:c>
      <x:c r="I99" s="12" t="str">
        <x:v>adaptive-systems;benchmarks</x:v>
      </x:c>
      <x:c r="J99" s="12" t="str">
        <x:v>Abstract Submission Due Date: November 20, 2026</x:v>
      </x:c>
      <x:c r="K99" s="12" t="str">
        <x:v>Intake is announced-not-open as of verification.</x:v>
      </x:c>
      <x:c r="L99" s="12" t="str">
        <x:v>https://www.pghtech.org/events/ThinkAI2027-Call-for-Speakers</x:v>
      </x:c>
    </x:row>
    <x:row r="100">
      <x:c r="A100" s="18" t="n">
        <x:v>46346.5</x:v>
      </x:c>
      <x:c r="B100" s="12" t="str"/>
      <x:c r="C100" s="12" t="str"/>
      <x:c r="D100" s="12" t="str">
        <x:v>cfp</x:v>
      </x:c>
      <x:c r="E100" s="12" t="str">
        <x:v>confirmed</x:v>
      </x:c>
      <x:c r="F100" s="12" t="str">
        <x:v>Think!AI Summit</x:v>
      </x:c>
      <x:c r="G100" s="12" t="str">
        <x:v>Think!AI Summit 2027</x:v>
      </x:c>
      <x:c r="H100" s="12" t="str">
        <x:v>announced-not-open</x:v>
      </x:c>
      <x:c r="I100" s="12" t="str">
        <x:v>adaptive-systems;benchmarks</x:v>
      </x:c>
      <x:c r="J100" s="12" t="str">
        <x:v>November 20, 2026</x:v>
      </x:c>
      <x:c r="K100" s="12" t="str">
        <x:v>Call is announced but page says intake will open soon</x:v>
      </x:c>
      <x:c r="L100" s="12" t="str">
        <x:v>https://www.pghtech.org/events/ThinkAI2027-Call-for-Speakers</x:v>
      </x:c>
    </x:row>
    <x:row r="101">
      <x:c r="A101" s="18" t="n">
        <x:v>46349.5</x:v>
      </x:c>
      <x:c r="B101" s="12" t="str"/>
      <x:c r="C101" s="12" t="str"/>
      <x:c r="D101" s="12" t="str">
        <x:v>notification</x:v>
      </x:c>
      <x:c r="E101" s="12" t="str">
        <x:v>exact</x:v>
      </x:c>
      <x:c r="F101" s="12" t="str">
        <x:v>AOmA / Adaptive Organizations meet Architecture</x:v>
      </x:c>
      <x:c r="G101" s="12" t="str">
        <x:v>AOmA 2027</x:v>
      </x:c>
      <x:c r="H101" s="12" t="str">
        <x:v>open</x:v>
      </x:c>
      <x:c r="I101" s="12" t="str">
        <x:v>adaptive-systems;retrieval</x:v>
      </x:c>
      <x:c r="J101" s="12" t="str">
        <x:v>Final notice ... November 23, 2026</x:v>
      </x:c>
      <x:c r="K101" s="12" t="str"/>
      <x:c r="L101" s="12" t="str">
        <x:v>https://aoma-conference.com/2027/cfp/</x:v>
      </x:c>
    </x:row>
    <x:row r="102">
      <x:c r="A102" s="18" t="n">
        <x:v>46349.5</x:v>
      </x:c>
      <x:c r="B102" s="12" t="str"/>
      <x:c r="C102" s="12" t="str"/>
      <x:c r="D102" s="12" t="str">
        <x:v>notification</x:v>
      </x:c>
      <x:c r="E102" s="12" t="str">
        <x:v>exact</x:v>
      </x:c>
      <x:c r="F102" s="12" t="str">
        <x:v>AOmA / Adaptive Organizations meet Architecture</x:v>
      </x:c>
      <x:c r="G102" s="12" t="str">
        <x:v>AOmA 2027</x:v>
      </x:c>
      <x:c r="H102" s="12" t="str">
        <x:v>open</x:v>
      </x:c>
      <x:c r="I102" s="12" t="str">
        <x:v>adaptive-systems;retrieval</x:v>
      </x:c>
      <x:c r="J102" s="12" t="str">
        <x:v>Final notice ... by November 23, 2026</x:v>
      </x:c>
      <x:c r="K102" s="12" t="str"/>
      <x:c r="L102" s="12" t="str">
        <x:v>https://aoma-conference.com/2027/cfp/</x:v>
      </x:c>
    </x:row>
    <x:row r="103">
      <x:c r="A103" s="18" t="n">
        <x:v>46356.5</x:v>
      </x:c>
      <x:c r="B103" s="12" t="str">
        <x:v>23:59</x:v>
      </x:c>
      <x:c r="C103" s="12" t="str">
        <x:v>W. Europe Standard Time UTC+01:00</x:v>
      </x:c>
      <x:c r="D103" s="12" t="str">
        <x:v>rolling_route_end</x:v>
      </x:c>
      <x:c r="E103" s="12" t="str">
        <x:v>confirmed</x:v>
      </x:c>
      <x:c r="F103" s="12" t="str">
        <x:v>PyData Venice</x:v>
      </x:c>
      <x:c r="G103" s="12" t="str">
        <x:v>PyData Venice 2026 series</x:v>
      </x:c>
      <x:c r="H103" s="12" t="str">
        <x:v>rolling</x:v>
      </x:c>
      <x:c r="I103" s="12" t="str">
        <x:v>failure-improvement;parallelization</x:v>
      </x:c>
      <x:c r="J103" s="12" t="str">
        <x:v>30 Nov 2026 11:59 PM W. Europe Standard Time UTC+01:00</x:v>
      </x:c>
      <x:c r="K103" s="12" t="str"/>
      <x:c r="L103" s="12" t="str">
        <x:v>https://sessionize.com/pydata-venice</x:v>
      </x:c>
    </x:row>
    <x:row r="104">
      <x:c r="A104" s="18" t="n">
        <x:v>46363.5</x:v>
      </x:c>
      <x:c r="B104" s="12" t="str"/>
      <x:c r="C104" s="12" t="str"/>
      <x:c r="D104" s="12" t="str">
        <x:v>notification</x:v>
      </x:c>
      <x:c r="E104" s="12" t="str">
        <x:v>exact</x:v>
      </x:c>
      <x:c r="F104" s="12" t="str">
        <x:v>KubeCon + CloudNativeCon Europe</x:v>
      </x:c>
      <x:c r="G104" s="12" t="str">
        <x:v>KubeCon + CloudNativeCon Europe 2027</x:v>
      </x:c>
      <x:c r="H104" s="12" t="str">
        <x:v>open</x:v>
      </x:c>
      <x:c r="I104" s="12" t="str">
        <x:v>adaptive-systems;benchmarks;failure-improvement;free-tier;parallelization;retrieval</x:v>
      </x:c>
      <x:c r="J104" s="12" t="str">
        <x:v>Monday, 7 December</x:v>
      </x:c>
      <x:c r="K104" s="12" t="str"/>
      <x:c r="L104" s="12" t="str">
        <x:v>https://events.linuxfoundation.org/kubecon-cloudnativecon-europe/program/cfp/</x:v>
      </x:c>
    </x:row>
    <x:row r="105">
      <x:c r="A105" s="18" t="n">
        <x:v>46363.5</x:v>
      </x:c>
      <x:c r="B105" s="12" t="str"/>
      <x:c r="C105" s="12" t="str"/>
      <x:c r="D105" s="12" t="str">
        <x:v>notification</x:v>
      </x:c>
      <x:c r="E105" s="12" t="str">
        <x:v>confirmed</x:v>
      </x:c>
      <x:c r="F105" s="12" t="str">
        <x:v>KubeCon + CloudNativeCon Europe</x:v>
      </x:c>
      <x:c r="G105" s="12" t="str">
        <x:v>KubeCon + CloudNativeCon Europe 2027</x:v>
      </x:c>
      <x:c r="H105" s="12" t="str">
        <x:v>open</x:v>
      </x:c>
      <x:c r="I105" s="12" t="str">
        <x:v>adaptive-systems;benchmarks;failure-improvement;free-tier;parallelization;retrieval</x:v>
      </x:c>
      <x:c r="J105" s="12" t="str">
        <x:v>December 7, 2026</x:v>
      </x:c>
      <x:c r="K105" s="12" t="str"/>
      <x:c r="L105" s="12" t="str">
        <x:v>https://events.linuxfoundation.org/kubecon-cloudnativecon-europe/program/cfp/</x:v>
      </x:c>
    </x:row>
    <x:row r="106">
      <x:c r="A106" s="18" t="n">
        <x:v>46363.5</x:v>
      </x:c>
      <x:c r="B106" s="12" t="str"/>
      <x:c r="C106" s="12" t="str"/>
      <x:c r="D106" s="12" t="str">
        <x:v>notification</x:v>
      </x:c>
      <x:c r="E106" s="12" t="str">
        <x:v>exact</x:v>
      </x:c>
      <x:c r="F106" s="12" t="str">
        <x:v>KubeCon + CloudNativeCon Europe</x:v>
      </x:c>
      <x:c r="G106" s="12" t="str">
        <x:v>KubeCon + CloudNativeCon Europe 2027</x:v>
      </x:c>
      <x:c r="H106" s="12" t="str">
        <x:v>open</x:v>
      </x:c>
      <x:c r="I106" s="12" t="str">
        <x:v>adaptive-systems;benchmarks;failure-improvement;free-tier;parallelization;retrieval</x:v>
      </x:c>
      <x:c r="J106" s="12" t="str">
        <x:v>Monday, 7 December</x:v>
      </x:c>
      <x:c r="K106" s="12" t="str">
        <x:v>Year supplied by 2027 edition context</x:v>
      </x:c>
      <x:c r="L106" s="12" t="str">
        <x:v>https://events.linuxfoundation.org/kubecon-cloudnativecon-europe/program/cfp/</x:v>
      </x:c>
    </x:row>
    <x:row r="107">
      <x:c r="A107" s="18" t="n">
        <x:v>46365.5</x:v>
      </x:c>
      <x:c r="B107" s="12" t="str"/>
      <x:c r="C107" s="12" t="str"/>
      <x:c r="D107" s="12" t="str">
        <x:v>materials</x:v>
      </x:c>
      <x:c r="E107" s="12" t="str">
        <x:v>confirmed</x:v>
      </x:c>
      <x:c r="F107" s="12" t="str">
        <x:v>KubeCon + CloudNativeCon Europe</x:v>
      </x:c>
      <x:c r="G107" s="12" t="str">
        <x:v>KubeCon + CloudNativeCon Europe 2027</x:v>
      </x:c>
      <x:c r="H107" s="12" t="str">
        <x:v>open</x:v>
      </x:c>
      <x:c r="I107" s="12" t="str">
        <x:v>adaptive-systems;benchmarks;failure-improvement;free-tier;parallelization;retrieval</x:v>
      </x:c>
      <x:c r="J107" s="12" t="str">
        <x:v>Schedule announced December 9, 2026</x:v>
      </x:c>
      <x:c r="K107" s="12" t="str"/>
      <x:c r="L107" s="12" t="str">
        <x:v>https://events.linuxfoundation.org/kubecon-cloudnativecon-europe/program/cfp/</x:v>
      </x:c>
    </x:row>
    <x:row r="108">
      <x:c r="A108" s="18" t="n">
        <x:v>46365.5</x:v>
      </x:c>
      <x:c r="B108" s="12" t="str"/>
      <x:c r="C108" s="12" t="str"/>
      <x:c r="D108" s="12" t="str">
        <x:v>schedule_announcement</x:v>
      </x:c>
      <x:c r="E108" s="12" t="str">
        <x:v>exact</x:v>
      </x:c>
      <x:c r="F108" s="12" t="str">
        <x:v>KubeCon + CloudNativeCon Europe</x:v>
      </x:c>
      <x:c r="G108" s="12" t="str">
        <x:v>KubeCon + CloudNativeCon Europe 2027</x:v>
      </x:c>
      <x:c r="H108" s="12" t="str">
        <x:v>open</x:v>
      </x:c>
      <x:c r="I108" s="12" t="str">
        <x:v>adaptive-systems;benchmarks;failure-improvement;free-tier;parallelization;retrieval</x:v>
      </x:c>
      <x:c r="J108" s="12" t="str">
        <x:v>Wednesday, 9 December</x:v>
      </x:c>
      <x:c r="K108" s="12" t="str"/>
      <x:c r="L108" s="12" t="str">
        <x:v>https://events.linuxfoundation.org/kubecon-cloudnativecon-europe/program/cfp/</x:v>
      </x:c>
    </x:row>
    <x:row r="109">
      <x:c r="A109" s="18" t="n">
        <x:v>46365.5</x:v>
      </x:c>
      <x:c r="B109" s="12" t="str"/>
      <x:c r="C109" s="12" t="str"/>
      <x:c r="D109" s="12" t="str">
        <x:v>schedule_announcement</x:v>
      </x:c>
      <x:c r="E109" s="12" t="str">
        <x:v>confirmed</x:v>
      </x:c>
      <x:c r="F109" s="12" t="str">
        <x:v>KubeCon + CloudNativeCon Europe</x:v>
      </x:c>
      <x:c r="G109" s="12" t="str">
        <x:v>KubeCon + CloudNativeCon Europe 2027</x:v>
      </x:c>
      <x:c r="H109" s="12" t="str">
        <x:v>open</x:v>
      </x:c>
      <x:c r="I109" s="12" t="str">
        <x:v>adaptive-systems;benchmarks;failure-improvement;free-tier;parallelization;retrieval</x:v>
      </x:c>
      <x:c r="J109" s="12" t="str">
        <x:v>December 9, 2026</x:v>
      </x:c>
      <x:c r="K109" s="12" t="str"/>
      <x:c r="L109" s="12" t="str">
        <x:v>https://events.linuxfoundation.org/kubecon-cloudnativecon-europe/program/cfp/</x:v>
      </x:c>
    </x:row>
    <x:row r="110">
      <x:c r="A110" s="18" t="n">
        <x:v>46366.5</x:v>
      </x:c>
      <x:c r="B110" s="12" t="str"/>
      <x:c r="C110" s="12" t="str"/>
      <x:c r="D110" s="12" t="str">
        <x:v>speaker_confirmation</x:v>
      </x:c>
      <x:c r="E110" s="12" t="str">
        <x:v>exact</x:v>
      </x:c>
      <x:c r="F110" s="12" t="str">
        <x:v>UPCEA Digital Teaching &amp; Learning Conference</x:v>
      </x:c>
      <x:c r="G110" s="12" t="str">
        <x:v>2027 UPCEA Digital Teaching &amp; Learning Conference</x:v>
      </x:c>
      <x:c r="H110" s="12" t="str">
        <x:v>open</x:v>
      </x:c>
      <x:c r="I110" s="12" t="str">
        <x:v>evidence-learning;skeptic-education</x:v>
      </x:c>
      <x:c r="J110" s="12" t="str">
        <x:v>December 10</x:v>
      </x:c>
      <x:c r="K110" s="12" t="str"/>
      <x:c r="L110" s="12" t="str">
        <x:v>https://conferences.upcea.edu/DTL2027/proposals.html</x:v>
      </x:c>
    </x:row>
    <x:row r="111">
      <x:c r="A111" s="18" t="n">
        <x:v>46366.5</x:v>
      </x:c>
      <x:c r="B111" s="12" t="str"/>
      <x:c r="C111" s="12" t="str"/>
      <x:c r="D111" s="12" t="str">
        <x:v>speaker_registration</x:v>
      </x:c>
      <x:c r="E111" s="12" t="str">
        <x:v>exact</x:v>
      </x:c>
      <x:c r="F111" s="12" t="str">
        <x:v>UPCEA Digital Teaching &amp; Learning Conference</x:v>
      </x:c>
      <x:c r="G111" s="12" t="str">
        <x:v>2027 UPCEA Digital Teaching &amp; Learning Conference</x:v>
      </x:c>
      <x:c r="H111" s="12" t="str">
        <x:v>open</x:v>
      </x:c>
      <x:c r="I111" s="12" t="str">
        <x:v>evidence-learning;skeptic-education</x:v>
      </x:c>
      <x:c r="J111" s="12" t="str">
        <x:v>register for the conference by December 10</x:v>
      </x:c>
      <x:c r="K111" s="12" t="str"/>
      <x:c r="L111" s="12" t="str">
        <x:v>https://conferences.upcea.edu/DTL2027/proposals.html</x:v>
      </x:c>
    </x:row>
    <x:row r="112">
      <x:c r="A112" s="18" t="n">
        <x:v>46366.5</x:v>
      </x:c>
      <x:c r="B112" s="12" t="str"/>
      <x:c r="C112" s="12" t="str"/>
      <x:c r="D112" s="12" t="str">
        <x:v>cfp_deadline</x:v>
      </x:c>
      <x:c r="E112" s="12" t="str">
        <x:v>confirmed</x:v>
      </x:c>
      <x:c r="F112" s="12" t="str">
        <x:v>UXDX</x:v>
      </x:c>
      <x:c r="G112" s="12" t="str">
        <x:v>UXDX New York 2027</x:v>
      </x:c>
      <x:c r="H112" s="12" t="str">
        <x:v>open</x:v>
      </x:c>
      <x:c r="I112" s="12" t="str">
        <x:v>judgment;product-engineering</x:v>
      </x:c>
      <x:c r="J112" s="12" t="str">
        <x:v>Apply by 10 Dec 2026</x:v>
      </x:c>
      <x:c r="K112" s="12" t="str">
        <x:v>No time or timezone stated.</x:v>
      </x:c>
      <x:c r="L112" s="12" t="str">
        <x:v>https://uxdx.com/speak/</x:v>
      </x:c>
    </x:row>
    <x:row r="113">
      <x:c r="A113" s="18" t="n">
        <x:v>46367.5</x:v>
      </x:c>
      <x:c r="B113" s="12" t="str"/>
      <x:c r="C113" s="12" t="str"/>
      <x:c r="D113" s="12" t="str">
        <x:v>cfp_deadline</x:v>
      </x:c>
      <x:c r="E113" s="12" t="str">
        <x:v>confirmed</x:v>
      </x:c>
      <x:c r="F113" s="12" t="str">
        <x:v>Data Summit</x:v>
      </x:c>
      <x:c r="G113" s="12" t="str">
        <x:v>Data Summit 2027</x:v>
      </x:c>
      <x:c r="H113" s="12" t="str">
        <x:v>open</x:v>
      </x:c>
      <x:c r="I113" s="12" t="str">
        <x:v>failure-improvement;parallelization</x:v>
      </x:c>
      <x:c r="J113" s="12" t="str">
        <x:v>December 11, 2026</x:v>
      </x:c>
      <x:c r="K113" s="12" t="str">
        <x:v>No time or timezone stated.</x:v>
      </x:c>
      <x:c r="L113" s="12" t="str">
        <x:v>https://www.dbta.com/DataSummit/2027/CallForSpeakers.aspx</x:v>
      </x:c>
    </x:row>
    <x:row r="114">
      <x:c r="A114" s="18" t="n">
        <x:v>46367.5</x:v>
      </x:c>
      <x:c r="B114" s="12" t="str"/>
      <x:c r="C114" s="12" t="str"/>
      <x:c r="D114" s="12" t="str">
        <x:v>cfp_deadline</x:v>
      </x:c>
      <x:c r="E114" s="12" t="str">
        <x:v>confirmed</x:v>
      </x:c>
      <x:c r="F114" s="12" t="str">
        <x:v>POSSIBLE</x:v>
      </x:c>
      <x:c r="G114" s="12" t="str">
        <x:v>POSSIBLE 2027</x:v>
      </x:c>
      <x:c r="H114" s="12" t="str">
        <x:v>open</x:v>
      </x:c>
      <x:c r="I114" s="12" t="str">
        <x:v>judgment;product-engineering</x:v>
      </x:c>
      <x:c r="J114" s="12" t="str">
        <x:v>Submissions open August 4, 2026 to December 11, 2026</x:v>
      </x:c>
      <x:c r="K114" s="12" t="str">
        <x:v>No time or timezone stated.</x:v>
      </x:c>
      <x:c r="L114" s="12" t="str">
        <x:v>https://possibleevent.com/speaker-opportunities/</x:v>
      </x:c>
    </x:row>
    <x:row r="115">
      <x:c r="A115" s="18" t="n">
        <x:v>46368.5</x:v>
      </x:c>
      <x:c r="B115" s="12" t="str"/>
      <x:c r="C115" s="12" t="str"/>
      <x:c r="D115" s="12" t="str">
        <x:v>notification</x:v>
      </x:c>
      <x:c r="E115" s="12" t="str">
        <x:v>exact</x:v>
      </x:c>
      <x:c r="F115" s="12" t="str">
        <x:v>SREcon Americas</x:v>
      </x:c>
      <x:c r="G115" s="12" t="str">
        <x:v>SREcon27 Americas</x:v>
      </x:c>
      <x:c r="H115" s="12" t="str">
        <x:v>open</x:v>
      </x:c>
      <x:c r="I115" s="12" t="str">
        <x:v>adaptive-systems;benchmarks;failure-improvement;parallelization;retrieval</x:v>
      </x:c>
      <x:c r="J115" s="12" t="str">
        <x:v>Saturday, December 12, 2026</x:v>
      </x:c>
      <x:c r="K115" s="12" t="str"/>
      <x:c r="L115" s="12" t="str">
        <x:v>https://www.usenix.org/conference/srecon27americas/call-for-participation</x:v>
      </x:c>
    </x:row>
    <x:row r="116">
      <x:c r="A116" s="18" t="n">
        <x:v>46368.5</x:v>
      </x:c>
      <x:c r="B116" s="12" t="str"/>
      <x:c r="C116" s="12" t="str"/>
      <x:c r="D116" s="12" t="str">
        <x:v>notification</x:v>
      </x:c>
      <x:c r="E116" s="12" t="str">
        <x:v>confirmed</x:v>
      </x:c>
      <x:c r="F116" s="12" t="str">
        <x:v>SREcon Americas</x:v>
      </x:c>
      <x:c r="G116" s="12" t="str">
        <x:v>SREcon27 Americas</x:v>
      </x:c>
      <x:c r="H116" s="12" t="str">
        <x:v>open</x:v>
      </x:c>
      <x:c r="I116" s="12" t="str">
        <x:v>adaptive-systems;benchmarks;failure-improvement;parallelization;retrieval</x:v>
      </x:c>
      <x:c r="J116" s="12" t="str">
        <x:v>December 12, 2026</x:v>
      </x:c>
      <x:c r="K116" s="12" t="str"/>
      <x:c r="L116" s="12" t="str">
        <x:v>https://www.usenix.org/conference/srecon27americas/call-for-participation</x:v>
      </x:c>
    </x:row>
    <x:row r="117">
      <x:c r="A117" s="18" t="n">
        <x:v>46369.5</x:v>
      </x:c>
      <x:c r="B117" s="12" t="str">
        <x:v>23:59</x:v>
      </x:c>
      <x:c r="C117" s="12" t="str">
        <x:v>W. Europe Standard Time UTC+01:00</x:v>
      </x:c>
      <x:c r="D117" s="12" t="str">
        <x:v>cfp_deadline</x:v>
      </x:c>
      <x:c r="E117" s="12" t="str">
        <x:v>confirmed</x:v>
      </x:c>
      <x:c r="F117" s="12" t="str">
        <x:v>Incontro DevOps Italia</x:v>
      </x:c>
      <x:c r="G117" s="12" t="str">
        <x:v>Incontro DevOps Italia 2027</x:v>
      </x:c>
      <x:c r="H117" s="12" t="str">
        <x:v>open</x:v>
      </x:c>
      <x:c r="I117" s="12" t="str">
        <x:v>failure-improvement;parallelization</x:v>
      </x:c>
      <x:c r="J117" s="12" t="str">
        <x:v>13 Dec 2026 11:59 PM W. Europe Standard Time UTC+01:00</x:v>
      </x:c>
      <x:c r="K117" s="12" t="str"/>
      <x:c r="L117" s="12" t="str">
        <x:v>https://sessionize.com/incontro-devops-italia-idi-2027/</x:v>
      </x:c>
    </x:row>
    <x:row r="118">
      <x:c r="A118" s="18" t="n">
        <x:v>46370.5</x:v>
      </x:c>
      <x:c r="B118" s="12" t="str"/>
      <x:c r="C118" s="12" t="str"/>
      <x:c r="D118" s="12" t="str">
        <x:v>notification</x:v>
      </x:c>
      <x:c r="E118" s="12" t="str">
        <x:v>exact</x:v>
      </x:c>
      <x:c r="F118" s="12" t="str">
        <x:v>Agentics Day: MCP + Agents Europe</x:v>
      </x:c>
      <x:c r="G118" s="12" t="str">
        <x:v>Agentics Day: MCP + Agents Europe 2027</x:v>
      </x:c>
      <x:c r="H118" s="12" t="str">
        <x:v>open</x:v>
      </x:c>
      <x:c r="I118" s="12" t="str">
        <x:v>adaptive-systems;failure-improvement;parallelization</x:v>
      </x:c>
      <x:c r="J118" s="12" t="str">
        <x:v>Monday, 14 December 2026</x:v>
      </x:c>
      <x:c r="K118" s="12" t="str"/>
      <x:c r="L118" s="12" t="str">
        <x:v>https://events.linuxfoundation.org/kubecon-cloudnativecon-europe/co-located-events/cfp-colocated-events/</x:v>
      </x:c>
    </x:row>
    <x:row r="119">
      <x:c r="A119" s="18" t="n">
        <x:v>46370.5</x:v>
      </x:c>
      <x:c r="B119" s="12" t="str"/>
      <x:c r="C119" s="12" t="str"/>
      <x:c r="D119" s="12" t="str">
        <x:v>notification</x:v>
      </x:c>
      <x:c r="E119" s="12" t="str">
        <x:v>confirmed</x:v>
      </x:c>
      <x:c r="F119" s="12" t="str">
        <x:v>Agentics Day: MCP + Agents Europe</x:v>
      </x:c>
      <x:c r="G119" s="12" t="str">
        <x:v>Agentics Day: MCP + Agents Europe 2027</x:v>
      </x:c>
      <x:c r="H119" s="12" t="str">
        <x:v>open</x:v>
      </x:c>
      <x:c r="I119" s="12" t="str">
        <x:v>adaptive-systems;failure-improvement;parallelization</x:v>
      </x:c>
      <x:c r="J119" s="12" t="str">
        <x:v>December 14, 2026</x:v>
      </x:c>
      <x:c r="K119" s="12" t="str"/>
      <x:c r="L119" s="12" t="str">
        <x:v>https://events.linuxfoundation.org/kubecon-cloudnativecon-europe/co-located-events/cfp-colocated-events/</x:v>
      </x:c>
    </x:row>
    <x:row r="120">
      <x:c r="A120" s="18" t="n">
        <x:v>46370.5</x:v>
      </x:c>
      <x:c r="B120" s="12" t="str"/>
      <x:c r="C120" s="12" t="str"/>
      <x:c r="D120" s="12" t="str">
        <x:v>notification</x:v>
      </x:c>
      <x:c r="E120" s="12" t="str">
        <x:v>exact</x:v>
      </x:c>
      <x:c r="F120" s="12" t="str">
        <x:v>Cloud Native AI + Inference Day Europe</x:v>
      </x:c>
      <x:c r="G120" s="12" t="str">
        <x:v>Cloud Native AI + Inference Day Europe 2027</x:v>
      </x:c>
      <x:c r="H120" s="12" t="str">
        <x:v>open</x:v>
      </x:c>
      <x:c r="I120" s="12" t="str">
        <x:v>adaptive-systems;retrieval</x:v>
      </x:c>
      <x:c r="J120" s="12" t="str">
        <x:v>Monday, 14 December 2026</x:v>
      </x:c>
      <x:c r="K120" s="12" t="str"/>
      <x:c r="L120" s="12" t="str">
        <x:v>https://events.linuxfoundation.org/kubecon-cloudnativecon-europe/co-located-events/cfp-colocated-events/</x:v>
      </x:c>
    </x:row>
    <x:row r="121">
      <x:c r="A121" s="18" t="n">
        <x:v>46370.5</x:v>
      </x:c>
      <x:c r="B121" s="12" t="str"/>
      <x:c r="C121" s="12" t="str"/>
      <x:c r="D121" s="12" t="str">
        <x:v>notification</x:v>
      </x:c>
      <x:c r="E121" s="12" t="str">
        <x:v>confirmed</x:v>
      </x:c>
      <x:c r="F121" s="12" t="str">
        <x:v>Observability Day Europe</x:v>
      </x:c>
      <x:c r="G121" s="12" t="str">
        <x:v>Observability Day Europe 2027</x:v>
      </x:c>
      <x:c r="H121" s="12" t="str">
        <x:v>open</x:v>
      </x:c>
      <x:c r="I121" s="12" t="str">
        <x:v>benchmarks</x:v>
      </x:c>
      <x:c r="J121" s="12" t="str">
        <x:v>December 14, 2026</x:v>
      </x:c>
      <x:c r="K121" s="12" t="str"/>
      <x:c r="L121" s="12" t="str">
        <x:v>https://events.linuxfoundation.org/kubecon-cloudnativecon-europe/co-located-events/cfp-colocated-events/</x:v>
      </x:c>
    </x:row>
    <x:row r="122">
      <x:c r="A122" s="18" t="n">
        <x:v>46371.5</x:v>
      </x:c>
      <x:c r="B122" s="12" t="str"/>
      <x:c r="C122" s="12" t="str"/>
      <x:c r="D122" s="12" t="str">
        <x:v>notification</x:v>
      </x:c>
      <x:c r="E122" s="12" t="str">
        <x:v>exact</x:v>
      </x:c>
      <x:c r="F122" s="12" t="str">
        <x:v>IEEE International Conference on Software Architecture</x:v>
      </x:c>
      <x:c r="G122" s="12" t="str">
        <x:v>ICSA 2027 Software Architecture in Practice</x:v>
      </x:c>
      <x:c r="H122" s="12" t="str">
        <x:v>open</x:v>
      </x:c>
      <x:c r="I122" s="12" t="str">
        <x:v>adaptive-systems</x:v>
      </x:c>
      <x:c r="J122" s="12" t="str">
        <x:v>Tue 15 Dec 2026</x:v>
      </x:c>
      <x:c r="K122" s="12" t="str"/>
      <x:c r="L122" s="12" t="str">
        <x:v>https://conf.researchr.org/track/icsa-2027/icsa-2027-software-architecture-in-practice-track</x:v>
      </x:c>
    </x:row>
    <x:row r="123">
      <x:c r="A123" s="18" t="n">
        <x:v>46371.5</x:v>
      </x:c>
      <x:c r="B123" s="12" t="str"/>
      <x:c r="C123" s="12" t="str"/>
      <x:c r="D123" s="12" t="str">
        <x:v>notification</x:v>
      </x:c>
      <x:c r="E123" s="12" t="str">
        <x:v>exact</x:v>
      </x:c>
      <x:c r="F123" s="12" t="str">
        <x:v>INQAAHE Biennial Conference</x:v>
      </x:c>
      <x:c r="G123" s="12" t="str">
        <x:v>INQAAHE Conference 2027</x:v>
      </x:c>
      <x:c r="H123" s="12" t="str">
        <x:v>open</x:v>
      </x:c>
      <x:c r="I123" s="12" t="str">
        <x:v>evidence-learning</x:v>
      </x:c>
      <x:c r="J123" s="12" t="str">
        <x:v>15 December 2026</x:v>
      </x:c>
      <x:c r="K123" s="12" t="str"/>
      <x:c r="L123" s="12" t="str">
        <x:v>https://inqaahe2027-doha.org/call-for-proposals/</x:v>
      </x:c>
    </x:row>
    <x:row r="124">
      <x:c r="A124" s="18" t="n">
        <x:v>46371.5</x:v>
      </x:c>
      <x:c r="B124" s="12" t="str"/>
      <x:c r="C124" s="12" t="str"/>
      <x:c r="D124" s="12" t="str">
        <x:v>notification</x:v>
      </x:c>
      <x:c r="E124" s="12" t="str">
        <x:v>exact</x:v>
      </x:c>
      <x:c r="F124" s="12" t="str">
        <x:v>Ohio State Learning Design Day</x:v>
      </x:c>
      <x:c r="G124" s="12" t="str">
        <x:v>Ohio State Learning Design Day 2027</x:v>
      </x:c>
      <x:c r="H124" s="12" t="str">
        <x:v>open</x:v>
      </x:c>
      <x:c r="I124" s="12" t="str">
        <x:v>skeptic-education</x:v>
      </x:c>
      <x:c r="J124" s="12" t="str">
        <x:v>Tuesday, December 15th</x:v>
      </x:c>
      <x:c r="K124" s="12" t="str">
        <x:v>Year inferred only from 2027 edition context</x:v>
      </x:c>
      <x:c r="L124" s="12" t="str">
        <x:v>https://cete.osu.edu/ohio-state-learning-design-day-call-for-proposals/</x:v>
      </x:c>
    </x:row>
    <x:row r="125">
      <x:c r="A125" s="18" t="n">
        <x:v>46371.5</x:v>
      </x:c>
      <x:c r="B125" s="12" t="str"/>
      <x:c r="C125" s="12" t="str"/>
      <x:c r="D125" s="12" t="str">
        <x:v>notification</x:v>
      </x:c>
      <x:c r="E125" s="12" t="str">
        <x:v>exact-context</x:v>
      </x:c>
      <x:c r="F125" s="12" t="str">
        <x:v>Ohio State Learning Design Day: Fresh Ideas</x:v>
      </x:c>
      <x:c r="G125" s="12" t="str">
        <x:v>Ohio State Learning Design Day 2027</x:v>
      </x:c>
      <x:c r="H125" s="12" t="str">
        <x:v>open</x:v>
      </x:c>
      <x:c r="I125" s="12" t="str">
        <x:v>evidence-learning</x:v>
      </x:c>
      <x:c r="J125" s="12" t="str">
        <x:v>Tuesday, December 15th</x:v>
      </x:c>
      <x:c r="K125" s="12" t="str">
        <x:v>Year omitted on page; normalized from sequence before January 2027 registration and weekday match.</x:v>
      </x:c>
      <x:c r="L125" s="12" t="str">
        <x:v>https://cete.osu.edu/ohio-state-learning-design-day-call-for-proposals/</x:v>
      </x:c>
    </x:row>
    <x:row r="126">
      <x:c r="A126" s="18" t="n">
        <x:v>46371.5</x:v>
      </x:c>
      <x:c r="B126" s="12" t="str">
        <x:v>23:59</x:v>
      </x:c>
      <x:c r="C126" s="12" t="str">
        <x:v>ET</x:v>
      </x:c>
      <x:c r="D126" s="12" t="str">
        <x:v>cfp_deadline</x:v>
      </x:c>
      <x:c r="E126" s="12" t="str">
        <x:v>exact</x:v>
      </x:c>
      <x:c r="F126" s="12" t="str">
        <x:v>USDLA National Conference</x:v>
      </x:c>
      <x:c r="G126" s="12" t="str">
        <x:v>USDLA 2027 National Conference</x:v>
      </x:c>
      <x:c r="H126" s="12" t="str">
        <x:v>open</x:v>
      </x:c>
      <x:c r="I126" s="12" t="str">
        <x:v>evidence-learning;skeptic-education</x:v>
      </x:c>
      <x:c r="J126" s="12" t="str">
        <x:v>Tuesday, December 15, 2026, at 11:59 p.m. ET</x:v>
      </x:c>
      <x:c r="K126" s="12" t="str">
        <x:v>UTC conversion uses EST in effect on this date.</x:v>
      </x:c>
      <x:c r="L126" s="12" t="str">
        <x:v>https://usdla.org/events/call-for-proposals/</x:v>
      </x:c>
    </x:row>
    <x:row r="127">
      <x:c r="A127" s="18" t="n">
        <x:v>46371.5</x:v>
      </x:c>
      <x:c r="B127" s="12" t="str">
        <x:v>23:59</x:v>
      </x:c>
      <x:c r="C127" s="12" t="str">
        <x:v>ET</x:v>
      </x:c>
      <x:c r="D127" s="12" t="str">
        <x:v>cfp_deadline</x:v>
      </x:c>
      <x:c r="E127" s="12" t="str">
        <x:v>exact</x:v>
      </x:c>
      <x:c r="F127" s="12" t="str">
        <x:v>USDLA National Conference</x:v>
      </x:c>
      <x:c r="G127" s="12" t="str">
        <x:v>USDLA 2027 National Conference</x:v>
      </x:c>
      <x:c r="H127" s="12" t="str">
        <x:v>open</x:v>
      </x:c>
      <x:c r="I127" s="12" t="str">
        <x:v>evidence-learning;skeptic-education</x:v>
      </x:c>
      <x:c r="J127" s="12" t="str">
        <x:v>Tuesday, December 15, 2026, 11:59 p.m. ET</x:v>
      </x:c>
      <x:c r="K127" s="12" t="str">
        <x:v>UTC conversion assumes Eastern Standard Time on December 15</x:v>
      </x:c>
      <x:c r="L127" s="12" t="str">
        <x:v>https://usdla.org/events/call-for-proposals/</x:v>
      </x:c>
    </x:row>
    <x:row r="128">
      <x:c r="A128" s="18" t="n">
        <x:v>46372.5</x:v>
      </x:c>
      <x:c r="B128" s="12" t="str"/>
      <x:c r="C128" s="12" t="str"/>
      <x:c r="D128" s="12" t="str">
        <x:v>schedule_announcement</x:v>
      </x:c>
      <x:c r="E128" s="12" t="str">
        <x:v>confirmed</x:v>
      </x:c>
      <x:c r="F128" s="12" t="str">
        <x:v>Agentics Day: MCP + Agents Europe</x:v>
      </x:c>
      <x:c r="G128" s="12" t="str">
        <x:v>Agentics Day: MCP + Agents Europe 2027</x:v>
      </x:c>
      <x:c r="H128" s="12" t="str">
        <x:v>open</x:v>
      </x:c>
      <x:c r="I128" s="12" t="str">
        <x:v>adaptive-systems;failure-improvement;parallelization</x:v>
      </x:c>
      <x:c r="J128" s="12" t="str">
        <x:v>December 16, 2026</x:v>
      </x:c>
      <x:c r="K128" s="12" t="str"/>
      <x:c r="L128" s="12" t="str">
        <x:v>https://events.linuxfoundation.org/kubecon-cloudnativecon-europe/co-located-events/cfp-colocated-events/</x:v>
      </x:c>
    </x:row>
    <x:row r="129">
      <x:c r="A129" s="18" t="n">
        <x:v>46372.5</x:v>
      </x:c>
      <x:c r="B129" s="12" t="str"/>
      <x:c r="C129" s="12" t="str"/>
      <x:c r="D129" s="12" t="str">
        <x:v>materials</x:v>
      </x:c>
      <x:c r="E129" s="12" t="str">
        <x:v>confirmed</x:v>
      </x:c>
      <x:c r="F129" s="12" t="str">
        <x:v>Observability Day Europe</x:v>
      </x:c>
      <x:c r="G129" s="12" t="str">
        <x:v>Observability Day Europe 2027</x:v>
      </x:c>
      <x:c r="H129" s="12" t="str">
        <x:v>open</x:v>
      </x:c>
      <x:c r="I129" s="12" t="str">
        <x:v>benchmarks</x:v>
      </x:c>
      <x:c r="J129" s="12" t="str">
        <x:v>Schedule announced December 16, 2026</x:v>
      </x:c>
      <x:c r="K129" s="12" t="str"/>
      <x:c r="L129" s="12" t="str">
        <x:v>https://events.linuxfoundation.org/kubecon-cloudnativecon-europe/co-located-events/cfp-colocated-events/</x:v>
      </x:c>
    </x:row>
    <x:row r="130">
      <x:c r="A130" s="18" t="n">
        <x:v>46374.5</x:v>
      </x:c>
      <x:c r="B130" s="12" t="str"/>
      <x:c r="C130" s="12" t="str"/>
      <x:c r="D130" s="12" t="str">
        <x:v>cfp_close</x:v>
      </x:c>
      <x:c r="E130" s="12" t="str">
        <x:v>exact-from-edition-context</x:v>
      </x:c>
      <x:c r="F130" s="12" t="str">
        <x:v>Dutch AI Conference</x:v>
      </x:c>
      <x:c r="G130" s="12" t="str">
        <x:v>Dutch AI Conference 2027</x:v>
      </x:c>
      <x:c r="H130" s="12" t="str">
        <x:v>open</x:v>
      </x:c>
      <x:c r="I130" s="12" t="str">
        <x:v>retrieval</x:v>
      </x:c>
      <x:c r="J130" s="12" t="str">
        <x:v>Call for Papers closes on December 18th</x:v>
      </x:c>
      <x:c r="K130" s="12" t="str">
        <x:v>No time zone stated</x:v>
      </x:c>
      <x:c r="L130" s="12" t="str">
        <x:v>https://aiconference.nl/meet-the-speakers/call-for-presentations/</x:v>
      </x:c>
    </x:row>
    <x:row r="131">
      <x:c r="A131" s="18" t="n">
        <x:v>46374.5</x:v>
      </x:c>
      <x:c r="B131" s="12" t="str"/>
      <x:c r="C131" s="12" t="str"/>
      <x:c r="D131" s="12" t="str">
        <x:v>notification</x:v>
      </x:c>
      <x:c r="E131" s="12" t="str">
        <x:v>exact</x:v>
      </x:c>
      <x:c r="F131" s="12" t="str">
        <x:v>LILAC</x:v>
      </x:c>
      <x:c r="G131" s="12" t="str">
        <x:v>LILAC 2027</x:v>
      </x:c>
      <x:c r="H131" s="12" t="str">
        <x:v>announced-not-open</x:v>
      </x:c>
      <x:c r="I131" s="12" t="str">
        <x:v>evidence-learning</x:v>
      </x:c>
      <x:c r="J131" s="12" t="str">
        <x:v>18 December 2026</x:v>
      </x:c>
      <x:c r="K131" s="12" t="str"/>
      <x:c r="L131" s="12" t="str">
        <x:v>https://www.lilacconference.com/lilac-2027/call-for-presentations-1</x:v>
      </x:c>
    </x:row>
    <x:row r="132">
      <x:c r="A132" s="18" t="n">
        <x:v>46376.5</x:v>
      </x:c>
      <x:c r="B132" s="12" t="str">
        <x:v>23:59</x:v>
      </x:c>
      <x:c r="C132" s="12" t="str">
        <x:v>AoE (UTC-12h)</x:v>
      </x:c>
      <x:c r="D132" s="12" t="str">
        <x:v>proposal_submission</x:v>
      </x:c>
      <x:c r="E132" s="12" t="str">
        <x:v>exact</x:v>
      </x:c>
      <x:c r="F132" s="12" t="str">
        <x:v>IEEE International Conference on Software Architecture</x:v>
      </x:c>
      <x:c r="G132" s="12" t="str">
        <x:v>ICSA 2027 Tutorials / Technical Briefings</x:v>
      </x:c>
      <x:c r="H132" s="12" t="str">
        <x:v>open</x:v>
      </x:c>
      <x:c r="I132" s="12" t="str">
        <x:v>adaptive-systems</x:v>
      </x:c>
      <x:c r="J132" s="12" t="str">
        <x:v>December 20, 2026; 23:59h AoE (UTC-12h)</x:v>
      </x:c>
      <x:c r="K132" s="12" t="str"/>
      <x:c r="L132" s="12" t="str">
        <x:v>https://conf.researchr.org/track/icsa-2027/icsa-2027-tutorials-tech-briefings</x:v>
      </x:c>
    </x:row>
    <x:row r="133">
      <x:c r="A133" s="18" t="n">
        <x:v>46387.5</x:v>
      </x:c>
      <x:c r="B133" s="12" t="str">
        <x:v>23:59</x:v>
      </x:c>
      <x:c r="C133" s="12" t="str">
        <x:v>India Standard Time UTC+05:30</x:v>
      </x:c>
      <x:c r="D133" s="12" t="str">
        <x:v>rolling_route_end</x:v>
      </x:c>
      <x:c r="E133" s="12" t="str">
        <x:v>confirmed</x:v>
      </x:c>
      <x:c r="F133" s="12" t="str">
        <x:v>Cloud Native Mumbai</x:v>
      </x:c>
      <x:c r="G133" s="12" t="str">
        <x:v>Cloud Native Mumbai 2026 rolling call</x:v>
      </x:c>
      <x:c r="H133" s="12" t="str">
        <x:v>rolling</x:v>
      </x:c>
      <x:c r="I133" s="12" t="str">
        <x:v>failure-improvement;parallelization</x:v>
      </x:c>
      <x:c r="J133" s="12" t="str">
        <x:v>31 Dec 2026 11:59 PM India Standard Time UTC+05:30</x:v>
      </x:c>
      <x:c r="K133" s="12" t="str">
        <x:v>Route end is not a guaranteed cutoff for the September session.</x:v>
      </x:c>
      <x:c r="L133" s="12" t="str">
        <x:v>https://sessionize.com/cloud-native-mumbai-city</x:v>
      </x:c>
    </x:row>
    <x:row r="134">
      <x:c r="A134" s="18" t="n">
        <x:v>46388.5</x:v>
      </x:c>
      <x:c r="B134" s="12" t="str"/>
      <x:c r="C134" s="12" t="str"/>
      <x:c r="D134" s="12" t="str">
        <x:v>cfp_close</x:v>
      </x:c>
      <x:c r="E134" s="12" t="str">
        <x:v>exact</x:v>
      </x:c>
      <x:c r="F134" s="12" t="str">
        <x:v>DevOpsDays Raleigh</x:v>
      </x:c>
      <x:c r="G134" s="12" t="str">
        <x:v>DevOpsDays Raleigh 2027</x:v>
      </x:c>
      <x:c r="H134" s="12" t="str">
        <x:v>open</x:v>
      </x:c>
      <x:c r="I134" s="12" t="str">
        <x:v>free-tier;retrieval</x:v>
      </x:c>
      <x:c r="J134" s="12" t="str">
        <x:v>closes Friday, Jan 1, 2027</x:v>
      </x:c>
      <x:c r="K134" s="12" t="str"/>
      <x:c r="L134" s="12" t="str">
        <x:v>https://devopsdays.org/events/2027-raleigh/propose/</x:v>
      </x:c>
    </x:row>
    <x:row r="135">
      <x:c r="A135" s="18" t="n">
        <x:v>46393.5</x:v>
      </x:c>
      <x:c r="B135" s="12" t="str"/>
      <x:c r="C135" s="12" t="str"/>
      <x:c r="D135" s="12" t="str">
        <x:v>confirmation</x:v>
      </x:c>
      <x:c r="E135" s="12" t="str">
        <x:v>confirmed</x:v>
      </x:c>
      <x:c r="F135" s="12" t="str">
        <x:v>SREcon Americas</x:v>
      </x:c>
      <x:c r="G135" s="12" t="str">
        <x:v>SREcon27 Americas</x:v>
      </x:c>
      <x:c r="H135" s="12" t="str">
        <x:v>open</x:v>
      </x:c>
      <x:c r="I135" s="12" t="str">
        <x:v>adaptive-systems;benchmarks;failure-improvement;parallelization;retrieval</x:v>
      </x:c>
      <x:c r="J135" s="12" t="str">
        <x:v>January 6, 2027</x:v>
      </x:c>
      <x:c r="K135" s="12" t="str"/>
      <x:c r="L135" s="12" t="str">
        <x:v>https://www.usenix.org/conference/srecon27americas/call-for-participation</x:v>
      </x:c>
    </x:row>
    <x:row r="136">
      <x:c r="A136" s="18" t="n">
        <x:v>46393.5</x:v>
      </x:c>
      <x:c r="B136" s="12" t="str"/>
      <x:c r="C136" s="12" t="str"/>
      <x:c r="D136" s="12" t="str">
        <x:v>confirmation_and_materials</x:v>
      </x:c>
      <x:c r="E136" s="12" t="str">
        <x:v>exact</x:v>
      </x:c>
      <x:c r="F136" s="12" t="str">
        <x:v>SREcon Americas</x:v>
      </x:c>
      <x:c r="G136" s="12" t="str">
        <x:v>SREcon27 Americas</x:v>
      </x:c>
      <x:c r="H136" s="12" t="str">
        <x:v>open</x:v>
      </x:c>
      <x:c r="I136" s="12" t="str">
        <x:v>adaptive-systems;benchmarks;failure-improvement;parallelization;retrieval</x:v>
      </x:c>
      <x:c r="J136" s="12" t="str">
        <x:v>Wednesday, January 6, 2027</x:v>
      </x:c>
      <x:c r="K136" s="12" t="str"/>
      <x:c r="L136" s="12" t="str">
        <x:v>https://www.usenix.org/conference/srecon27americas/call-for-participation</x:v>
      </x:c>
    </x:row>
    <x:row r="137">
      <x:c r="A137" s="18" t="n">
        <x:v>46393.5</x:v>
      </x:c>
      <x:c r="B137" s="12" t="str"/>
      <x:c r="C137" s="12" t="str"/>
      <x:c r="D137" s="12" t="str">
        <x:v>materials</x:v>
      </x:c>
      <x:c r="E137" s="12" t="str">
        <x:v>confirmed</x:v>
      </x:c>
      <x:c r="F137" s="12" t="str">
        <x:v>SREcon Americas</x:v>
      </x:c>
      <x:c r="G137" s="12" t="str">
        <x:v>SREcon27 Americas</x:v>
      </x:c>
      <x:c r="H137" s="12" t="str">
        <x:v>open</x:v>
      </x:c>
      <x:c r="I137" s="12" t="str">
        <x:v>adaptive-systems;benchmarks;failure-improvement;parallelization;retrieval</x:v>
      </x:c>
      <x:c r="J137" s="12" t="str">
        <x:v>January 6, 2027</x:v>
      </x:c>
      <x:c r="K137" s="12" t="str"/>
      <x:c r="L137" s="12" t="str">
        <x:v>https://www.usenix.org/conference/srecon27americas/call-for-participation</x:v>
      </x:c>
    </x:row>
    <x:row r="138">
      <x:c r="A138" s="18" t="n">
        <x:v>46393.5</x:v>
      </x:c>
      <x:c r="B138" s="12" t="str"/>
      <x:c r="C138" s="12" t="str"/>
      <x:c r="D138" s="12" t="str">
        <x:v>materials_and_confirmation</x:v>
      </x:c>
      <x:c r="E138" s="12" t="str">
        <x:v>exact</x:v>
      </x:c>
      <x:c r="F138" s="12" t="str">
        <x:v>SREcon Americas</x:v>
      </x:c>
      <x:c r="G138" s="12" t="str">
        <x:v>SREcon27 Americas</x:v>
      </x:c>
      <x:c r="H138" s="12" t="str">
        <x:v>open</x:v>
      </x:c>
      <x:c r="I138" s="12" t="str">
        <x:v>adaptive-systems;benchmarks;failure-improvement;parallelization;retrieval</x:v>
      </x:c>
      <x:c r="J138" s="12" t="str">
        <x:v>Wednesday, January 6, 2027</x:v>
      </x:c>
      <x:c r="K138" s="12" t="str"/>
      <x:c r="L138" s="12" t="str">
        <x:v>https://www.usenix.org/conference/srecon27americas/call-for-participation</x:v>
      </x:c>
    </x:row>
    <x:row r="139">
      <x:c r="A139" s="18" t="n">
        <x:v>46393.5</x:v>
      </x:c>
      <x:c r="B139" s="12" t="str"/>
      <x:c r="C139" s="12" t="str"/>
      <x:c r="D139" s="12" t="str">
        <x:v>speaker_confirmation</x:v>
      </x:c>
      <x:c r="E139" s="12" t="str">
        <x:v>confirmed</x:v>
      </x:c>
      <x:c r="F139" s="12" t="str">
        <x:v>SREcon Americas</x:v>
      </x:c>
      <x:c r="G139" s="12" t="str">
        <x:v>SREcon27 Americas</x:v>
      </x:c>
      <x:c r="H139" s="12" t="str">
        <x:v>open</x:v>
      </x:c>
      <x:c r="I139" s="12" t="str">
        <x:v>adaptive-systems;benchmarks;failure-improvement;parallelization;retrieval</x:v>
      </x:c>
      <x:c r="J139" s="12" t="str">
        <x:v>January 6, 2027</x:v>
      </x:c>
      <x:c r="K139" s="12" t="str"/>
      <x:c r="L139" s="12" t="str">
        <x:v>https://www.usenix.org/conference/srecon27americas/call-for-participation</x:v>
      </x:c>
    </x:row>
    <x:row r="140">
      <x:c r="A140" s="18" t="n">
        <x:v>46398.5</x:v>
      </x:c>
      <x:c r="B140" s="12" t="str"/>
      <x:c r="C140" s="12" t="str"/>
      <x:c r="D140" s="12" t="str">
        <x:v>notification</x:v>
      </x:c>
      <x:c r="E140" s="12" t="str">
        <x:v>exact</x:v>
      </x:c>
      <x:c r="F140" s="12" t="str">
        <x:v>Florida Online Innovation Summit</x:v>
      </x:c>
      <x:c r="G140" s="12" t="str">
        <x:v>Florida Online Innovation Summit 2027</x:v>
      </x:c>
      <x:c r="H140" s="12" t="str">
        <x:v>announced-not-open</x:v>
      </x:c>
      <x:c r="I140" s="12" t="str">
        <x:v>skeptic-education</x:v>
      </x:c>
      <x:c r="J140" s="12" t="str">
        <x:v>January 11, 2027</x:v>
      </x:c>
      <x:c r="K140" s="12" t="str"/>
      <x:c r="L140" s="12" t="str">
        <x:v>https://digitallearning.ucf.edu/ilab/innovation-summit/proposals/</x:v>
      </x:c>
    </x:row>
    <x:row r="141">
      <x:c r="A141" s="18" t="n">
        <x:v>46402.5</x:v>
      </x:c>
      <x:c r="B141" s="12" t="str"/>
      <x:c r="C141" s="12" t="str"/>
      <x:c r="D141" s="12" t="str">
        <x:v>materials_deadline</x:v>
      </x:c>
      <x:c r="E141" s="12" t="str">
        <x:v>exact</x:v>
      </x:c>
      <x:c r="F141" s="12" t="str">
        <x:v>UPCEA Digital Teaching &amp; Learning Conference</x:v>
      </x:c>
      <x:c r="G141" s="12" t="str">
        <x:v>2027 UPCEA Digital Teaching &amp; Learning Conference</x:v>
      </x:c>
      <x:c r="H141" s="12" t="str">
        <x:v>open</x:v>
      </x:c>
      <x:c r="I141" s="12" t="str">
        <x:v>evidence-learning;skeptic-education</x:v>
      </x:c>
      <x:c r="J141" s="12" t="str">
        <x:v>January 15, 2027</x:v>
      </x:c>
      <x:c r="K141" s="12" t="str"/>
      <x:c r="L141" s="12" t="str">
        <x:v>https://conferences.upcea.edu/DTL2027/proposals.html</x:v>
      </x:c>
    </x:row>
    <x:row r="142">
      <x:c r="A142" s="18" t="n">
        <x:v>46402.5</x:v>
      </x:c>
      <x:c r="B142" s="12" t="str"/>
      <x:c r="C142" s="12" t="str"/>
      <x:c r="D142" s="12" t="str">
        <x:v>materials_deadline</x:v>
      </x:c>
      <x:c r="E142" s="12" t="str">
        <x:v>exact</x:v>
      </x:c>
      <x:c r="F142" s="12" t="str">
        <x:v>UPCEA Digital Teaching &amp; Learning Conference</x:v>
      </x:c>
      <x:c r="G142" s="12" t="str">
        <x:v>2027 UPCEA Digital Teaching &amp; Learning Conference</x:v>
      </x:c>
      <x:c r="H142" s="12" t="str">
        <x:v>open</x:v>
      </x:c>
      <x:c r="I142" s="12" t="str">
        <x:v>evidence-learning;skeptic-education</x:v>
      </x:c>
      <x:c r="J142" s="12" t="str">
        <x:v>provide electronic versions ... by January 15, 2027</x:v>
      </x:c>
      <x:c r="K142" s="12" t="str"/>
      <x:c r="L142" s="12" t="str">
        <x:v>https://conferences.upcea.edu/DTL2027/proposals.html</x:v>
      </x:c>
    </x:row>
    <x:row r="143">
      <x:c r="A143" s="18" t="n">
        <x:v>46402.5</x:v>
      </x:c>
      <x:c r="B143" s="12" t="str"/>
      <x:c r="C143" s="12" t="str"/>
      <x:c r="D143" s="12" t="str">
        <x:v>notification</x:v>
      </x:c>
      <x:c r="E143" s="12" t="str">
        <x:v>exact</x:v>
      </x:c>
      <x:c r="F143" s="12" t="str">
        <x:v>USDLA National Conference</x:v>
      </x:c>
      <x:c r="G143" s="12" t="str">
        <x:v>USDLA 2027 National Conference</x:v>
      </x:c>
      <x:c r="H143" s="12" t="str">
        <x:v>open</x:v>
      </x:c>
      <x:c r="I143" s="12" t="str">
        <x:v>evidence-learning;skeptic-education</x:v>
      </x:c>
      <x:c r="J143" s="12" t="str">
        <x:v>Friday January 15, 2027</x:v>
      </x:c>
      <x:c r="K143" s="12" t="str"/>
      <x:c r="L143" s="12" t="str">
        <x:v>https://usdla.org/events/call-for-proposals/</x:v>
      </x:c>
    </x:row>
    <x:row r="144">
      <x:c r="A144" s="18" t="n">
        <x:v>46406.5</x:v>
      </x:c>
      <x:c r="B144" s="12" t="str"/>
      <x:c r="C144" s="12" t="str"/>
      <x:c r="D144" s="12" t="str">
        <x:v>notification</x:v>
      </x:c>
      <x:c r="E144" s="12" t="str">
        <x:v>exact</x:v>
      </x:c>
      <x:c r="F144" s="12" t="str">
        <x:v>IEEE International Conference on Software Architecture</x:v>
      </x:c>
      <x:c r="G144" s="12" t="str">
        <x:v>ICSA 2027 Tutorials / Technical Briefings</x:v>
      </x:c>
      <x:c r="H144" s="12" t="str">
        <x:v>open</x:v>
      </x:c>
      <x:c r="I144" s="12" t="str">
        <x:v>adaptive-systems</x:v>
      </x:c>
      <x:c r="J144" s="12" t="str">
        <x:v>January 19, 2027</x:v>
      </x:c>
      <x:c r="K144" s="12" t="str"/>
      <x:c r="L144" s="12" t="str">
        <x:v>https://conf.researchr.org/track/icsa-2027/icsa-2027-tutorials-tech-briefings</x:v>
      </x:c>
    </x:row>
    <x:row r="145">
      <x:c r="A145" s="18" t="n">
        <x:v>46409.5</x:v>
      </x:c>
      <x:c r="B145" s="12" t="str"/>
      <x:c r="C145" s="12" t="str"/>
      <x:c r="D145" s="12" t="str">
        <x:v>cfp_deadline</x:v>
      </x:c>
      <x:c r="E145" s="12" t="str">
        <x:v>exact</x:v>
      </x:c>
      <x:c r="F145" s="12" t="str">
        <x:v>Teaching and Learning with AI Conference</x:v>
      </x:c>
      <x:c r="G145" s="12" t="str">
        <x:v>Teaching and Learning with AI 2027</x:v>
      </x:c>
      <x:c r="H145" s="12" t="str">
        <x:v>announced-not-open</x:v>
      </x:c>
      <x:c r="I145" s="12" t="str">
        <x:v>evidence-learning;skeptic-education</x:v>
      </x:c>
      <x:c r="J145" s="12" t="str">
        <x:v>January 22, 2027</x:v>
      </x:c>
      <x:c r="K145" s="12" t="str"/>
      <x:c r="L145" s="12" t="str">
        <x:v>https://aiforall.ucf.edu/teachwithai/</x:v>
      </x:c>
    </x:row>
    <x:row r="146">
      <x:c r="A146" s="18" t="n">
        <x:v>46409.5</x:v>
      </x:c>
      <x:c r="B146" s="12" t="str"/>
      <x:c r="C146" s="12" t="str"/>
      <x:c r="D146" s="12" t="str">
        <x:v>cfp_deadline</x:v>
      </x:c>
      <x:c r="E146" s="12" t="str">
        <x:v>exact</x:v>
      </x:c>
      <x:c r="F146" s="12" t="str">
        <x:v>Teaching and Learning with AI Conference</x:v>
      </x:c>
      <x:c r="G146" s="12" t="str">
        <x:v>Teaching and Learning with AI 2027</x:v>
      </x:c>
      <x:c r="H146" s="12" t="str">
        <x:v>announced-not-open</x:v>
      </x:c>
      <x:c r="I146" s="12" t="str">
        <x:v>evidence-learning;skeptic-education</x:v>
      </x:c>
      <x:c r="J146" s="12" t="str">
        <x:v>January 22, 2027</x:v>
      </x:c>
      <x:c r="K146" s="12" t="str">
        <x:v>No time zone stated</x:v>
      </x:c>
      <x:c r="L146" s="12" t="str">
        <x:v>https://aiforall.ucf.edu/teachwithai/</x:v>
      </x:c>
    </x:row>
    <x:row r="147">
      <x:c r="A147" s="18" t="n">
        <x:v>46416.5</x:v>
      </x:c>
      <x:c r="B147" s="12" t="str"/>
      <x:c r="C147" s="12" t="str"/>
      <x:c r="D147" s="12" t="str">
        <x:v>camera_ready</x:v>
      </x:c>
      <x:c r="E147" s="12" t="str">
        <x:v>exact</x:v>
      </x:c>
      <x:c r="F147" s="12" t="str">
        <x:v>IEEE International Conference on Software Architecture</x:v>
      </x:c>
      <x:c r="G147" s="12" t="str">
        <x:v>ICSA 2027 Tutorials / Technical Briefings</x:v>
      </x:c>
      <x:c r="H147" s="12" t="str">
        <x:v>open</x:v>
      </x:c>
      <x:c r="I147" s="12" t="str">
        <x:v>adaptive-systems</x:v>
      </x:c>
      <x:c r="J147" s="12" t="str">
        <x:v>January 29, 2027</x:v>
      </x:c>
      <x:c r="K147" s="12" t="str"/>
      <x:c r="L147" s="12" t="str">
        <x:v>https://conf.researchr.org/track/icsa-2027/icsa-2027-tutorials-tech-briefings</x:v>
      </x:c>
    </x:row>
    <x:row r="148">
      <x:c r="A148" s="18" t="n">
        <x:v>46419.5</x:v>
      </x:c>
      <x:c r="B148" s="12" t="str"/>
      <x:c r="C148" s="12" t="str"/>
      <x:c r="D148" s="12" t="str">
        <x:v>notification</x:v>
      </x:c>
      <x:c r="E148" s="12" t="str">
        <x:v>exact</x:v>
      </x:c>
      <x:c r="F148" s="12" t="str">
        <x:v>ISLS Annual Meeting / ICLS and CSCL</x:v>
      </x:c>
      <x:c r="G148" s="12" t="str">
        <x:v>ISLS Annual Meeting 2027</x:v>
      </x:c>
      <x:c r="H148" s="12" t="str">
        <x:v>open</x:v>
      </x:c>
      <x:c r="I148" s="12" t="str">
        <x:v>evidence-learning</x:v>
      </x:c>
      <x:c r="J148" s="12" t="str">
        <x:v>February 1, 2027</x:v>
      </x:c>
      <x:c r="K148" s="12" t="str"/>
      <x:c r="L148" s="12" t="str">
        <x:v>https://2027.isls.org/icls-2027-call-for-proposals/</x:v>
      </x:c>
    </x:row>
    <x:row r="149">
      <x:c r="A149" s="18" t="n">
        <x:v>46421.5</x:v>
      </x:c>
      <x:c r="B149" s="12" t="str"/>
      <x:c r="C149" s="12" t="str"/>
      <x:c r="D149" s="12" t="str">
        <x:v>notification</x:v>
      </x:c>
      <x:c r="E149" s="12" t="str">
        <x:v>exact</x:v>
      </x:c>
      <x:c r="F149" s="12" t="str">
        <x:v>OLC Innovate</x:v>
      </x:c>
      <x:c r="G149" s="12" t="str">
        <x:v>OLC Innovate 2027</x:v>
      </x:c>
      <x:c r="H149" s="12" t="str">
        <x:v>announced-not-open</x:v>
      </x:c>
      <x:c r="I149" s="12" t="str">
        <x:v>evidence-learning;skeptic-education</x:v>
      </x:c>
      <x:c r="J149" s="12" t="str">
        <x:v>February 3, 2027</x:v>
      </x:c>
      <x:c r="K149" s="12" t="str"/>
      <x:c r="L149" s="12" t="str">
        <x:v>https://onlinelearningconsortium.org/conferences/olc-innovate2027/present/</x:v>
      </x:c>
    </x:row>
    <x:row r="150">
      <x:c r="A150" s="18" t="n">
        <x:v>46423.5</x:v>
      </x:c>
      <x:c r="B150" s="12" t="str"/>
      <x:c r="C150" s="12" t="str"/>
      <x:c r="D150" s="12" t="str">
        <x:v>cfp_deadline</x:v>
      </x:c>
      <x:c r="E150" s="12" t="str">
        <x:v>exact</x:v>
      </x:c>
      <x:c r="F150" s="12" t="str">
        <x:v>International Conference on AI in Education 2027</x:v>
      </x:c>
      <x:c r="G150" s="12" t="str">
        <x:v>ICAIED London 2027</x:v>
      </x:c>
      <x:c r="H150" s="12" t="str">
        <x:v>open</x:v>
      </x:c>
      <x:c r="I150" s="12" t="str">
        <x:v>evidence-learning;skeptic-education</x:v>
      </x:c>
      <x:c r="J150" s="12" t="str">
        <x:v>Abstract submission closes 5 February 2027</x:v>
      </x:c>
      <x:c r="K150" s="12" t="str"/>
      <x:c r="L150" s="12" t="str">
        <x:v>https://www.icaied.org/call-for-papers</x:v>
      </x:c>
    </x:row>
    <x:row r="151">
      <x:c r="A151" s="18" t="n">
        <x:v>46423.5</x:v>
      </x:c>
      <x:c r="B151" s="12" t="str"/>
      <x:c r="C151" s="12" t="str"/>
      <x:c r="D151" s="12" t="str">
        <x:v>cfp_deadline</x:v>
      </x:c>
      <x:c r="E151" s="12" t="str">
        <x:v>exact</x:v>
      </x:c>
      <x:c r="F151" s="12" t="str">
        <x:v>International Conference on AI in Education 2027</x:v>
      </x:c>
      <x:c r="G151" s="12" t="str">
        <x:v>ICAIED London 2027</x:v>
      </x:c>
      <x:c r="H151" s="12" t="str">
        <x:v>open</x:v>
      </x:c>
      <x:c r="I151" s="12" t="str">
        <x:v>evidence-learning;skeptic-education</x:v>
      </x:c>
      <x:c r="J151" s="12" t="str">
        <x:v>5 February 2027</x:v>
      </x:c>
      <x:c r="K151" s="12" t="str">
        <x:v>No time zone stated</x:v>
      </x:c>
      <x:c r="L151" s="12" t="str">
        <x:v>https://www.icaied.org/call-for-papers</x:v>
      </x:c>
    </x:row>
    <x:row r="152">
      <x:c r="A152" s="18" t="n">
        <x:v>46433.5</x:v>
      </x:c>
      <x:c r="B152" s="12" t="str"/>
      <x:c r="C152" s="12" t="str"/>
      <x:c r="D152" s="12" t="str">
        <x:v>notification</x:v>
      </x:c>
      <x:c r="E152" s="12" t="str">
        <x:v>exact</x:v>
      </x:c>
      <x:c r="F152" s="12" t="str">
        <x:v>Teaching and Learning with AI Conference</x:v>
      </x:c>
      <x:c r="G152" s="12" t="str">
        <x:v>Teaching and Learning with AI 2027</x:v>
      </x:c>
      <x:c r="H152" s="12" t="str">
        <x:v>announced-not-open</x:v>
      </x:c>
      <x:c r="I152" s="12" t="str">
        <x:v>evidence-learning;skeptic-education</x:v>
      </x:c>
      <x:c r="J152" s="12" t="str">
        <x:v>February 15, 2027</x:v>
      </x:c>
      <x:c r="K152" s="12" t="str"/>
      <x:c r="L152" s="12" t="str">
        <x:v>https://aiforall.ucf.edu/teachwithai/</x:v>
      </x:c>
    </x:row>
    <x:row r="153">
      <x:c r="A153" s="18" t="n">
        <x:v>46446.5</x:v>
      </x:c>
      <x:c r="B153" s="12" t="str"/>
      <x:c r="C153" s="12" t="str"/>
      <x:c r="D153" s="12" t="str">
        <x:v>materials_deadline</x:v>
      </x:c>
      <x:c r="E153" s="12" t="str">
        <x:v>exact</x:v>
      </x:c>
      <x:c r="F153" s="12" t="str">
        <x:v>INQAAHE Biennial Conference</x:v>
      </x:c>
      <x:c r="G153" s="12" t="str">
        <x:v>INQAAHE Conference 2027</x:v>
      </x:c>
      <x:c r="H153" s="12" t="str">
        <x:v>open</x:v>
      </x:c>
      <x:c r="I153" s="12" t="str">
        <x:v>evidence-learning</x:v>
      </x:c>
      <x:c r="J153" s="12" t="str">
        <x:v>28 February 2027</x:v>
      </x:c>
      <x:c r="K153" s="12" t="str"/>
      <x:c r="L153" s="12" t="str">
        <x:v>https://inqaahe2027-doha.org/call-for-proposals/</x:v>
      </x:c>
    </x:row>
    <x:row r="154">
      <x:c r="A154" s="18" t="n">
        <x:v>46455.5</x:v>
      </x:c>
      <x:c r="B154" s="12" t="str"/>
      <x:c r="C154" s="12" t="str"/>
      <x:c r="D154" s="12" t="str">
        <x:v>speaker_confirmation</x:v>
      </x:c>
      <x:c r="E154" s="12" t="str">
        <x:v>exact</x:v>
      </x:c>
      <x:c r="F154" s="12" t="str">
        <x:v>OLC Innovate</x:v>
      </x:c>
      <x:c r="G154" s="12" t="str">
        <x:v>OLC Innovate 2027</x:v>
      </x:c>
      <x:c r="H154" s="12" t="str">
        <x:v>announced-not-open</x:v>
      </x:c>
      <x:c r="I154" s="12" t="str">
        <x:v>evidence-learning;skeptic-education</x:v>
      </x:c>
      <x:c r="J154" s="12" t="str">
        <x:v>March 9, 2027: deadline for presenters to register</x:v>
      </x:c>
      <x:c r="K154" s="12" t="str"/>
      <x:c r="L154" s="12" t="str">
        <x:v>https://onlinelearningconsortium.org/conferences/olc-innovate2027/present/</x:v>
      </x:c>
    </x:row>
    <x:row r="155">
      <x:c r="A155" s="18" t="n">
        <x:v>46455.5</x:v>
      </x:c>
      <x:c r="B155" s="12" t="str"/>
      <x:c r="C155" s="12" t="str"/>
      <x:c r="D155" s="12" t="str">
        <x:v>speaker_registration</x:v>
      </x:c>
      <x:c r="E155" s="12" t="str">
        <x:v>exact</x:v>
      </x:c>
      <x:c r="F155" s="12" t="str">
        <x:v>OLC Innovate</x:v>
      </x:c>
      <x:c r="G155" s="12" t="str">
        <x:v>OLC Innovate 2027</x:v>
      </x:c>
      <x:c r="H155" s="12" t="str">
        <x:v>announced-not-open</x:v>
      </x:c>
      <x:c r="I155" s="12" t="str">
        <x:v>evidence-learning;skeptic-education</x:v>
      </x:c>
      <x:c r="J155" s="12" t="str">
        <x:v>March 9, 2027</x:v>
      </x:c>
      <x:c r="K155" s="12" t="str"/>
      <x:c r="L155" s="12" t="str">
        <x:v>https://onlinelearningconsortium.org/conferences/olc-innovate2027/present/</x:v>
      </x:c>
    </x:row>
    <x:row r="156">
      <x:c r="A156" s="18" t="n">
        <x:v>46465.5</x:v>
      </x:c>
      <x:c r="B156" s="12" t="str"/>
      <x:c r="C156" s="12" t="str"/>
      <x:c r="D156" s="12" t="str">
        <x:v>materials_deadline</x:v>
      </x:c>
      <x:c r="E156" s="12" t="str">
        <x:v>exact</x:v>
      </x:c>
      <x:c r="F156" s="12" t="str">
        <x:v>WSCUC Accreditation Resource Conference</x:v>
      </x:c>
      <x:c r="G156" s="12" t="str">
        <x:v>ARC2027</x:v>
      </x:c>
      <x:c r="H156" s="12" t="str">
        <x:v>open</x:v>
      </x:c>
      <x:c r="I156" s="12" t="str">
        <x:v>evidence-learning</x:v>
      </x:c>
      <x:c r="J156" s="12" t="str">
        <x:v>March 19, 2027</x:v>
      </x:c>
      <x:c r="K156" s="12" t="str"/>
      <x:c r="L156" s="12" t="str">
        <x:v>https://www.wscuc.org/arc2027cfp/</x:v>
      </x:c>
    </x:row>
    <x:row r="157">
      <x:c r="A157" s="18" t="n">
        <x:v>46484.5</x:v>
      </x:c>
      <x:c r="B157" s="12" t="str"/>
      <x:c r="C157" s="12" t="str"/>
      <x:c r="D157" s="12" t="str">
        <x:v>materials_deadline</x:v>
      </x:c>
      <x:c r="E157" s="12" t="str">
        <x:v>exact</x:v>
      </x:c>
      <x:c r="F157" s="12" t="str">
        <x:v>LILAC</x:v>
      </x:c>
      <x:c r="G157" s="12" t="str">
        <x:v>LILAC 2027</x:v>
      </x:c>
      <x:c r="H157" s="12" t="str">
        <x:v>announced-not-open</x:v>
      </x:c>
      <x:c r="I157" s="12" t="str">
        <x:v>evidence-learning</x:v>
      </x:c>
      <x:c r="J157" s="12" t="str">
        <x:v>7 April 2027</x:v>
      </x:c>
      <x:c r="K157" s="12" t="str"/>
      <x:c r="L157" s="12" t="str">
        <x:v>https://www.lilacconference.com/lilac-2027/call-for-presentations-1</x:v>
      </x:c>
    </x:row>
    <x:row r="158">
      <x:c r="A158" s="18" t="n">
        <x:v>46485.5</x:v>
      </x:c>
      <x:c r="B158" s="12" t="str">
        <x:v>17:00</x:v>
      </x:c>
      <x:c r="C158" s="12" t="str">
        <x:v>AEDST</x:v>
      </x:c>
      <x:c r="D158" s="12" t="str">
        <x:v>grant_deadline</x:v>
      </x:c>
      <x:c r="E158" s="12" t="str">
        <x:v>exact</x:v>
      </x:c>
      <x:c r="F158" s="12" t="str">
        <x:v>HERDSA Annual Conference</x:v>
      </x:c>
      <x:c r="G158" s="12" t="str">
        <x:v>HERDSA 2027</x:v>
      </x:c>
      <x:c r="H158" s="12" t="str">
        <x:v>announced-not-open</x:v>
      </x:c>
      <x:c r="I158" s="12" t="str">
        <x:v>evidence-learning;skeptic-education</x:v>
      </x:c>
      <x:c r="J158" s="12" t="str">
        <x:v>5pm AEDST, 8 April 2027</x:v>
      </x:c>
      <x:c r="K158" s="12" t="str">
        <x:v>Only for eligible student or early-career grants; not a CFP deadline</x:v>
      </x:c>
      <x:c r="L158" s="12" t="str">
        <x:v>https://herdsa.org.au/conference</x:v>
      </x:c>
    </x:row>
    <x:row r="159">
      <x:c r="A159" s="18" t="n">
        <x:v>46486.5</x:v>
      </x:c>
      <x:c r="B159" s="12" t="str"/>
      <x:c r="C159" s="12" t="str"/>
      <x:c r="D159" s="12" t="str">
        <x:v>speaker_confirmation</x:v>
      </x:c>
      <x:c r="E159" s="12" t="str">
        <x:v>exact</x:v>
      </x:c>
      <x:c r="F159" s="12" t="str">
        <x:v>Teaching and Learning with AI Conference</x:v>
      </x:c>
      <x:c r="G159" s="12" t="str">
        <x:v>Teaching and Learning with AI 2027</x:v>
      </x:c>
      <x:c r="H159" s="12" t="str">
        <x:v>announced-not-open</x:v>
      </x:c>
      <x:c r="I159" s="12" t="str">
        <x:v>evidence-learning;skeptic-education</x:v>
      </x:c>
      <x:c r="J159" s="12" t="str">
        <x:v>Presenters must register by April 9, 2027</x:v>
      </x:c>
      <x:c r="K159" s="12" t="str"/>
      <x:c r="L159" s="12" t="str">
        <x:v>https://aiforall.ucf.edu/teachwithai/</x:v>
      </x:c>
    </x:row>
    <x:row r="160">
      <x:c r="A160" s="18" t="n">
        <x:v>46486.5</x:v>
      </x:c>
      <x:c r="B160" s="12" t="str"/>
      <x:c r="C160" s="12" t="str"/>
      <x:c r="D160" s="12" t="str">
        <x:v>speaker_registration</x:v>
      </x:c>
      <x:c r="E160" s="12" t="str">
        <x:v>exact</x:v>
      </x:c>
      <x:c r="F160" s="12" t="str">
        <x:v>Teaching and Learning with AI Conference</x:v>
      </x:c>
      <x:c r="G160" s="12" t="str">
        <x:v>Teaching and Learning with AI 2027</x:v>
      </x:c>
      <x:c r="H160" s="12" t="str">
        <x:v>announced-not-open</x:v>
      </x:c>
      <x:c r="I160" s="12" t="str">
        <x:v>evidence-learning;skeptic-education</x:v>
      </x:c>
      <x:c r="J160" s="12" t="str">
        <x:v>must register by April 9, 2027</x:v>
      </x:c>
      <x:c r="K160" s="12" t="str"/>
      <x:c r="L160" s="12" t="str">
        <x:v>https://aiforall.ucf.edu/teachwithai/</x:v>
      </x:c>
    </x:row>
    <x:row r="161">
      <x:c r="A161" s="18" t="n">
        <x:v>46490.5</x:v>
      </x:c>
      <x:c r="B161" s="12" t="str"/>
      <x:c r="C161" s="12" t="str"/>
      <x:c r="D161" s="12" t="str">
        <x:v>materials_deadline</x:v>
      </x:c>
      <x:c r="E161" s="12" t="str">
        <x:v>exact</x:v>
      </x:c>
      <x:c r="F161" s="12" t="str">
        <x:v>OLC Innovate</x:v>
      </x:c>
      <x:c r="G161" s="12" t="str">
        <x:v>OLC Innovate 2027</x:v>
      </x:c>
      <x:c r="H161" s="12" t="str">
        <x:v>announced-not-open</x:v>
      </x:c>
      <x:c r="I161" s="12" t="str">
        <x:v>evidence-learning;skeptic-education</x:v>
      </x:c>
      <x:c r="J161" s="12" t="str">
        <x:v>April 13, 2027</x:v>
      </x:c>
      <x:c r="K161" s="12" t="str"/>
      <x:c r="L161" s="12" t="str">
        <x:v>https://onlinelearningconsortium.org/conferences/olc-innovate2027/present/</x:v>
      </x:c>
    </x:row>
    <x:row r="162">
      <x:c r="A162" s="18" t="n">
        <x:v>46521.5</x:v>
      </x:c>
      <x:c r="B162" s="12" t="str"/>
      <x:c r="C162" s="12" t="str"/>
      <x:c r="D162" s="12" t="str">
        <x:v>speaker_confirmation</x:v>
      </x:c>
      <x:c r="E162" s="12" t="str">
        <x:v>exact</x:v>
      </x:c>
      <x:c r="F162" s="12" t="str">
        <x:v>USDLA National Conference</x:v>
      </x:c>
      <x:c r="G162" s="12" t="str">
        <x:v>USDLA 2027 National Conference</x:v>
      </x:c>
      <x:c r="H162" s="12" t="str">
        <x:v>open</x:v>
      </x:c>
      <x:c r="I162" s="12" t="str">
        <x:v>evidence-learning;skeptic-education</x:v>
      </x:c>
      <x:c r="J162" s="12" t="str">
        <x:v>Presenters must register by May 14th 2027</x:v>
      </x:c>
      <x:c r="K162" s="12" t="str"/>
      <x:c r="L162" s="12" t="str">
        <x:v>https://usdla.org/events/call-for-proposals/</x:v>
      </x:c>
    </x:row>
    <x:row r="163">
      <x:c r="A163" s="19" t="n">
        <x:v>46568.5</x:v>
      </x:c>
      <x:c r="B163" s="13" t="str">
        <x:v>23:59</x:v>
      </x:c>
      <x:c r="C163" s="13" t="str">
        <x:v>Pacific Daylight Time UTC-07:00</x:v>
      </x:c>
      <x:c r="D163" s="13" t="str">
        <x:v>rolling_route_end</x:v>
      </x:c>
      <x:c r="E163" s="13" t="str">
        <x:v>confirmed</x:v>
      </x:c>
      <x:c r="F163" s="13" t="str">
        <x:v>Global AI Community Seattle</x:v>
      </x:c>
      <x:c r="G163" s="13" t="str">
        <x:v>Global AI Community Seattle 2026-2027 series</x:v>
      </x:c>
      <x:c r="H163" s="13" t="str">
        <x:v>rolling</x:v>
      </x:c>
      <x:c r="I163" s="13" t="str">
        <x:v>failure-improvement;parallelization</x:v>
      </x:c>
      <x:c r="J163" s="13" t="str">
        <x:v>30 Jun 2027 11:59 PM Pacific Daylight Time UTC-07:00</x:v>
      </x:c>
      <x:c r="K163" s="13" t="str">
        <x:v>Route spans multiple meetup dates; this is not a per-edition cutoff.</x:v>
      </x:c>
      <x:c r="L163" s="13" t="str">
        <x:v>https://sessionize.com/global-ai-community-seattle/</x:v>
      </x:c>
    </x:row>
  </x:sheetData>
  <x:pageMargins left="0.7" right="0.7" top="0.75" bottom="0.75" header="0.3" footer="0.3"/>
  <x:tableParts count="1">
    <x:tablePart xmlns:r="http://schemas.openxmlformats.org/officeDocument/2006/relationships" r:id="R7f7243a31c4e4547"/>
  </x:tableParts>
</x:worksheet>
</file>